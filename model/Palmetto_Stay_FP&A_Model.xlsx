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4CAF49B9-7C08-45A6-A294-EA759D0F1271}" xr6:coauthVersionLast="47" xr6:coauthVersionMax="47" xr10:uidLastSave="{00000000-0000-0000-0000-000000000000}"/>
  <bookViews>
    <workbookView xWindow="2205" yWindow="2205" windowWidth="15390" windowHeight="9443" xr2:uid="{00000000-000D-0000-FFFF-FFFF00000000}"/>
  </bookViews>
  <sheets>
    <sheet name="Start" sheetId="1" r:id="rId1"/>
    <sheet name="Data" sheetId="2" r:id="rId2"/>
    <sheet name="Assumptions" sheetId="3" r:id="rId3"/>
    <sheet name="Budget" sheetId="4" r:id="rId4"/>
    <sheet name="Forecast" sheetId="5" r:id="rId5"/>
    <sheet name="Variance" sheetId="6" r:id="rId6"/>
    <sheet name="Review" sheetId="7" r:id="rId7"/>
    <sheet name="Checks" sheetId="8" r:id="rId8"/>
  </sheets>
  <definedNames>
    <definedName name="_xlnm.Print_Area" localSheetId="6">Review!$B$1:$N$96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3" i="8" l="1"/>
  <c r="F223" i="8" s="1"/>
  <c r="D222" i="8"/>
  <c r="F222" i="8" s="1"/>
  <c r="D221" i="8"/>
  <c r="F221" i="8" s="1"/>
  <c r="D220" i="8"/>
  <c r="F220" i="8" s="1"/>
  <c r="D219" i="8"/>
  <c r="F219" i="8" s="1"/>
  <c r="D218" i="8"/>
  <c r="F218" i="8" s="1"/>
  <c r="D217" i="8"/>
  <c r="F217" i="8" s="1"/>
  <c r="D216" i="8"/>
  <c r="F216" i="8" s="1"/>
  <c r="D215" i="8"/>
  <c r="F215" i="8" s="1"/>
  <c r="D214" i="8"/>
  <c r="F214" i="8" s="1"/>
  <c r="D213" i="8"/>
  <c r="F213" i="8" s="1"/>
  <c r="D212" i="8"/>
  <c r="F212" i="8" s="1"/>
  <c r="D211" i="8"/>
  <c r="F211" i="8" s="1"/>
  <c r="D210" i="8"/>
  <c r="F210" i="8" s="1"/>
  <c r="D209" i="8"/>
  <c r="F209" i="8" s="1"/>
  <c r="D208" i="8"/>
  <c r="F208" i="8" s="1"/>
  <c r="D207" i="8"/>
  <c r="F207" i="8" s="1"/>
  <c r="F187" i="8"/>
  <c r="F186" i="8"/>
  <c r="F185" i="8"/>
  <c r="F184" i="8"/>
  <c r="F183" i="8"/>
  <c r="F182" i="8"/>
  <c r="F181" i="8"/>
  <c r="F180" i="8"/>
  <c r="F179" i="8"/>
  <c r="F178" i="8"/>
  <c r="F177" i="8"/>
  <c r="F176" i="8"/>
  <c r="F173" i="8"/>
  <c r="F172" i="8"/>
  <c r="F140" i="8"/>
  <c r="D139" i="8"/>
  <c r="F139" i="8" s="1"/>
  <c r="D138" i="8"/>
  <c r="F138" i="8" s="1"/>
  <c r="D137" i="8"/>
  <c r="F137" i="8" s="1"/>
  <c r="D136" i="8"/>
  <c r="F136" i="8" s="1"/>
  <c r="F133" i="8"/>
  <c r="F124" i="8"/>
  <c r="D123" i="8"/>
  <c r="F123" i="8" s="1"/>
  <c r="D122" i="8"/>
  <c r="F122" i="8" s="1"/>
  <c r="D121" i="8"/>
  <c r="F121" i="8" s="1"/>
  <c r="D120" i="8"/>
  <c r="F120" i="8" s="1"/>
  <c r="D119" i="8"/>
  <c r="F119" i="8" s="1"/>
  <c r="D118" i="8"/>
  <c r="F118" i="8" s="1"/>
  <c r="F114" i="8"/>
  <c r="F113" i="8"/>
  <c r="F112" i="8"/>
  <c r="F111" i="8"/>
  <c r="F110" i="8"/>
  <c r="F109" i="8"/>
  <c r="F108" i="8"/>
  <c r="F107" i="8"/>
  <c r="F106" i="8"/>
  <c r="F105" i="8"/>
  <c r="F104" i="8"/>
  <c r="E88" i="8"/>
  <c r="E86" i="8"/>
  <c r="F84" i="8"/>
  <c r="E80" i="8"/>
  <c r="E72" i="8"/>
  <c r="D69" i="8"/>
  <c r="F69" i="8" s="1"/>
  <c r="D62" i="8"/>
  <c r="F62" i="8" s="1"/>
  <c r="D61" i="8"/>
  <c r="F61" i="8" s="1"/>
  <c r="D60" i="8"/>
  <c r="F60" i="8" s="1"/>
  <c r="F56" i="8"/>
  <c r="F55" i="8"/>
  <c r="F54" i="8"/>
  <c r="F53" i="8"/>
  <c r="F52" i="8"/>
  <c r="F51" i="8"/>
  <c r="F50" i="8"/>
  <c r="F49" i="8"/>
  <c r="D48" i="8"/>
  <c r="F48" i="8" s="1"/>
  <c r="U30" i="8"/>
  <c r="T30" i="8"/>
  <c r="S30" i="8"/>
  <c r="R30" i="8"/>
  <c r="Q30" i="8"/>
  <c r="P30" i="8"/>
  <c r="O30" i="8"/>
  <c r="N30" i="8"/>
  <c r="M30" i="8"/>
  <c r="L30" i="8"/>
  <c r="K30" i="8"/>
  <c r="U29" i="8"/>
  <c r="T29" i="8"/>
  <c r="S29" i="8"/>
  <c r="R29" i="8"/>
  <c r="Q29" i="8"/>
  <c r="P29" i="8"/>
  <c r="O29" i="8"/>
  <c r="N29" i="8"/>
  <c r="M29" i="8"/>
  <c r="L29" i="8"/>
  <c r="K29" i="8"/>
  <c r="U28" i="8"/>
  <c r="T28" i="8"/>
  <c r="S28" i="8"/>
  <c r="R28" i="8"/>
  <c r="Q28" i="8"/>
  <c r="P28" i="8"/>
  <c r="O28" i="8"/>
  <c r="N28" i="8"/>
  <c r="M28" i="8"/>
  <c r="L28" i="8"/>
  <c r="K28" i="8"/>
  <c r="U27" i="8"/>
  <c r="T27" i="8"/>
  <c r="S27" i="8"/>
  <c r="R27" i="8"/>
  <c r="Q27" i="8"/>
  <c r="P27" i="8"/>
  <c r="O27" i="8"/>
  <c r="N27" i="8"/>
  <c r="M27" i="8"/>
  <c r="L27" i="8"/>
  <c r="K27" i="8"/>
  <c r="U26" i="8"/>
  <c r="T26" i="8"/>
  <c r="S26" i="8"/>
  <c r="R26" i="8"/>
  <c r="Q26" i="8"/>
  <c r="P26" i="8"/>
  <c r="O26" i="8"/>
  <c r="N26" i="8"/>
  <c r="M26" i="8"/>
  <c r="L26" i="8"/>
  <c r="K26" i="8"/>
  <c r="U25" i="8"/>
  <c r="T25" i="8"/>
  <c r="S25" i="8"/>
  <c r="R25" i="8"/>
  <c r="Q25" i="8"/>
  <c r="P25" i="8"/>
  <c r="O25" i="8"/>
  <c r="N25" i="8"/>
  <c r="M25" i="8"/>
  <c r="L25" i="8"/>
  <c r="K25" i="8"/>
  <c r="D20" i="8"/>
  <c r="F20" i="8" s="1"/>
  <c r="K19" i="8"/>
  <c r="L19" i="8" s="1"/>
  <c r="D19" i="8"/>
  <c r="F19" i="8" s="1"/>
  <c r="K18" i="8"/>
  <c r="L18" i="8" s="1"/>
  <c r="D18" i="8"/>
  <c r="F18" i="8" s="1"/>
  <c r="K17" i="8"/>
  <c r="L17" i="8" s="1"/>
  <c r="K16" i="8"/>
  <c r="L16" i="8" s="1"/>
  <c r="D16" i="8"/>
  <c r="F16" i="8" s="1"/>
  <c r="K15" i="8"/>
  <c r="L15" i="8" s="1"/>
  <c r="D15" i="8"/>
  <c r="F15" i="8" s="1"/>
  <c r="K14" i="8"/>
  <c r="L14" i="8" s="1"/>
  <c r="D14" i="8"/>
  <c r="F14" i="8" s="1"/>
  <c r="K13" i="8"/>
  <c r="L13" i="8" s="1"/>
  <c r="D13" i="8"/>
  <c r="F13" i="8" s="1"/>
  <c r="K12" i="8"/>
  <c r="L12" i="8" s="1"/>
  <c r="D12" i="8"/>
  <c r="F12" i="8" s="1"/>
  <c r="K11" i="8"/>
  <c r="L11" i="8" s="1"/>
  <c r="D11" i="8"/>
  <c r="F11" i="8" s="1"/>
  <c r="K10" i="8"/>
  <c r="L10" i="8" s="1"/>
  <c r="D10" i="8"/>
  <c r="F10" i="8" s="1"/>
  <c r="K9" i="8"/>
  <c r="D9" i="8"/>
  <c r="F9" i="8" s="1"/>
  <c r="K8" i="8"/>
  <c r="L8" i="8" s="1"/>
  <c r="D8" i="8"/>
  <c r="F8" i="8" s="1"/>
  <c r="I120" i="6"/>
  <c r="H120" i="6"/>
  <c r="G120" i="6"/>
  <c r="F120" i="6"/>
  <c r="E120" i="6"/>
  <c r="D120" i="6"/>
  <c r="I119" i="6"/>
  <c r="H119" i="6"/>
  <c r="G119" i="6"/>
  <c r="F119" i="6"/>
  <c r="E119" i="6"/>
  <c r="D119" i="6"/>
  <c r="I118" i="6"/>
  <c r="H118" i="6"/>
  <c r="G118" i="6"/>
  <c r="F118" i="6"/>
  <c r="E118" i="6"/>
  <c r="D118" i="6"/>
  <c r="I117" i="6"/>
  <c r="I219" i="6" s="1"/>
  <c r="H117" i="6"/>
  <c r="G117" i="6"/>
  <c r="G116" i="6" s="1"/>
  <c r="G217" i="6" s="1"/>
  <c r="F117" i="6"/>
  <c r="E117" i="6"/>
  <c r="D117" i="6"/>
  <c r="I115" i="6"/>
  <c r="I215" i="6" s="1"/>
  <c r="H115" i="6"/>
  <c r="G115" i="6"/>
  <c r="G215" i="6" s="1"/>
  <c r="F115" i="6"/>
  <c r="F215" i="6" s="1"/>
  <c r="E115" i="6"/>
  <c r="D115" i="6"/>
  <c r="D215" i="6" s="1"/>
  <c r="I114" i="6"/>
  <c r="H114" i="6"/>
  <c r="G114" i="6"/>
  <c r="F114" i="6"/>
  <c r="E114" i="6"/>
  <c r="D114" i="6"/>
  <c r="I112" i="6"/>
  <c r="H112" i="6"/>
  <c r="H204" i="6" s="1"/>
  <c r="G112" i="6"/>
  <c r="G204" i="6" s="1"/>
  <c r="F112" i="6"/>
  <c r="F204" i="6" s="1"/>
  <c r="E112" i="6"/>
  <c r="D112" i="6"/>
  <c r="D204" i="6" s="1"/>
  <c r="I110" i="6"/>
  <c r="H110" i="6"/>
  <c r="H109" i="6" s="1"/>
  <c r="G110" i="6"/>
  <c r="G109" i="6" s="1"/>
  <c r="F110" i="6"/>
  <c r="E110" i="6"/>
  <c r="D110" i="6"/>
  <c r="I107" i="6"/>
  <c r="H107" i="6"/>
  <c r="G107" i="6"/>
  <c r="G184" i="6" s="1"/>
  <c r="F107" i="6"/>
  <c r="F184" i="6" s="1"/>
  <c r="E107" i="6"/>
  <c r="D107" i="6"/>
  <c r="I105" i="6"/>
  <c r="H105" i="6"/>
  <c r="H101" i="6" s="1"/>
  <c r="G105" i="6"/>
  <c r="F105" i="6"/>
  <c r="E105" i="6"/>
  <c r="D105" i="6"/>
  <c r="I104" i="6"/>
  <c r="H104" i="6"/>
  <c r="G104" i="6"/>
  <c r="F104" i="6"/>
  <c r="F100" i="6" s="1"/>
  <c r="E104" i="6"/>
  <c r="D104" i="6"/>
  <c r="I98" i="6"/>
  <c r="H98" i="6"/>
  <c r="G98" i="6"/>
  <c r="F98" i="6"/>
  <c r="E98" i="6"/>
  <c r="D98" i="6"/>
  <c r="D101" i="6" s="1"/>
  <c r="I97" i="6"/>
  <c r="H97" i="6"/>
  <c r="G97" i="6"/>
  <c r="F97" i="6"/>
  <c r="E97" i="6"/>
  <c r="D97" i="6"/>
  <c r="I94" i="6"/>
  <c r="H94" i="6"/>
  <c r="G94" i="6"/>
  <c r="F94" i="6"/>
  <c r="E94" i="6"/>
  <c r="D94" i="6"/>
  <c r="H54" i="6"/>
  <c r="H50" i="6"/>
  <c r="H45" i="6"/>
  <c r="H44" i="6"/>
  <c r="H43" i="6"/>
  <c r="H42" i="6"/>
  <c r="H41" i="6"/>
  <c r="H40" i="6"/>
  <c r="H39" i="6"/>
  <c r="H37" i="6"/>
  <c r="H36" i="6"/>
  <c r="H32" i="6"/>
  <c r="H29" i="6"/>
  <c r="H28" i="6"/>
  <c r="H25" i="6"/>
  <c r="O159" i="5"/>
  <c r="N159" i="5"/>
  <c r="M159" i="5"/>
  <c r="L159" i="5"/>
  <c r="K159" i="5"/>
  <c r="J159" i="5"/>
  <c r="O158" i="5"/>
  <c r="N158" i="5"/>
  <c r="M158" i="5"/>
  <c r="L158" i="5"/>
  <c r="K158" i="5"/>
  <c r="J158" i="5"/>
  <c r="O157" i="5"/>
  <c r="N157" i="5"/>
  <c r="M157" i="5"/>
  <c r="L157" i="5"/>
  <c r="K157" i="5"/>
  <c r="J157" i="5"/>
  <c r="O155" i="5"/>
  <c r="N155" i="5"/>
  <c r="M155" i="5"/>
  <c r="L155" i="5"/>
  <c r="K155" i="5"/>
  <c r="J155" i="5"/>
  <c r="O154" i="5"/>
  <c r="O156" i="5" s="1"/>
  <c r="N154" i="5"/>
  <c r="M154" i="5"/>
  <c r="L154" i="5"/>
  <c r="K154" i="5"/>
  <c r="J154" i="5"/>
  <c r="O150" i="5"/>
  <c r="N150" i="5"/>
  <c r="M150" i="5"/>
  <c r="L150" i="5"/>
  <c r="K150" i="5"/>
  <c r="J150" i="5"/>
  <c r="O148" i="5"/>
  <c r="N148" i="5"/>
  <c r="M148" i="5"/>
  <c r="L148" i="5"/>
  <c r="K148" i="5"/>
  <c r="J148" i="5"/>
  <c r="O145" i="5"/>
  <c r="N145" i="5"/>
  <c r="M145" i="5"/>
  <c r="L145" i="5"/>
  <c r="K145" i="5"/>
  <c r="J145" i="5"/>
  <c r="O144" i="5"/>
  <c r="N144" i="5"/>
  <c r="M144" i="5"/>
  <c r="L144" i="5"/>
  <c r="K144" i="5"/>
  <c r="J144" i="5"/>
  <c r="O134" i="5"/>
  <c r="N134" i="5"/>
  <c r="M134" i="5"/>
  <c r="L134" i="5"/>
  <c r="K134" i="5"/>
  <c r="J134" i="5"/>
  <c r="O133" i="5"/>
  <c r="N133" i="5"/>
  <c r="M133" i="5"/>
  <c r="L133" i="5"/>
  <c r="K133" i="5"/>
  <c r="J133" i="5"/>
  <c r="O130" i="5"/>
  <c r="N130" i="5"/>
  <c r="M130" i="5"/>
  <c r="M132" i="5" s="1"/>
  <c r="M131" i="5" s="1"/>
  <c r="M137" i="5" s="1"/>
  <c r="L130" i="5"/>
  <c r="K130" i="5"/>
  <c r="J130" i="5"/>
  <c r="O128" i="5"/>
  <c r="N128" i="5"/>
  <c r="M128" i="5"/>
  <c r="L128" i="5"/>
  <c r="K128" i="5"/>
  <c r="K149" i="5" s="1"/>
  <c r="J128" i="5"/>
  <c r="O126" i="5"/>
  <c r="N126" i="5"/>
  <c r="M126" i="5"/>
  <c r="L126" i="5"/>
  <c r="K126" i="5"/>
  <c r="J126" i="5"/>
  <c r="O125" i="5"/>
  <c r="N125" i="5"/>
  <c r="M125" i="5"/>
  <c r="L125" i="5"/>
  <c r="L127" i="5" s="1"/>
  <c r="K125" i="5"/>
  <c r="J125" i="5"/>
  <c r="O111" i="5"/>
  <c r="N111" i="5"/>
  <c r="M111" i="5"/>
  <c r="L111" i="5"/>
  <c r="K111" i="5"/>
  <c r="J111" i="5"/>
  <c r="O110" i="5"/>
  <c r="N110" i="5"/>
  <c r="M110" i="5"/>
  <c r="L110" i="5"/>
  <c r="K110" i="5"/>
  <c r="J110" i="5"/>
  <c r="O109" i="5"/>
  <c r="N109" i="5"/>
  <c r="M109" i="5"/>
  <c r="L109" i="5"/>
  <c r="K109" i="5"/>
  <c r="J109" i="5"/>
  <c r="O107" i="5"/>
  <c r="N107" i="5"/>
  <c r="M107" i="5"/>
  <c r="L107" i="5"/>
  <c r="K107" i="5"/>
  <c r="J107" i="5"/>
  <c r="O106" i="5"/>
  <c r="N106" i="5"/>
  <c r="M106" i="5"/>
  <c r="L106" i="5"/>
  <c r="K106" i="5"/>
  <c r="J106" i="5"/>
  <c r="O102" i="5"/>
  <c r="N102" i="5"/>
  <c r="M102" i="5"/>
  <c r="L102" i="5"/>
  <c r="K102" i="5"/>
  <c r="J102" i="5"/>
  <c r="O100" i="5"/>
  <c r="N100" i="5"/>
  <c r="M100" i="5"/>
  <c r="L100" i="5"/>
  <c r="K100" i="5"/>
  <c r="K101" i="5" s="1"/>
  <c r="J100" i="5"/>
  <c r="O97" i="5"/>
  <c r="N97" i="5"/>
  <c r="M97" i="5"/>
  <c r="L97" i="5"/>
  <c r="K97" i="5"/>
  <c r="J97" i="5"/>
  <c r="O96" i="5"/>
  <c r="N96" i="5"/>
  <c r="M96" i="5"/>
  <c r="L96" i="5"/>
  <c r="K96" i="5"/>
  <c r="J96" i="5"/>
  <c r="O86" i="5"/>
  <c r="N86" i="5"/>
  <c r="M86" i="5"/>
  <c r="L86" i="5"/>
  <c r="K86" i="5"/>
  <c r="J86" i="5"/>
  <c r="O85" i="5"/>
  <c r="N85" i="5"/>
  <c r="M85" i="5"/>
  <c r="L85" i="5"/>
  <c r="K85" i="5"/>
  <c r="J85" i="5"/>
  <c r="O82" i="5"/>
  <c r="N82" i="5"/>
  <c r="M82" i="5"/>
  <c r="L82" i="5"/>
  <c r="K82" i="5"/>
  <c r="J82" i="5"/>
  <c r="O80" i="5"/>
  <c r="O98" i="5" s="1"/>
  <c r="N80" i="5"/>
  <c r="M80" i="5"/>
  <c r="L80" i="5"/>
  <c r="K80" i="5"/>
  <c r="K98" i="5" s="1"/>
  <c r="J80" i="5"/>
  <c r="O78" i="5"/>
  <c r="N78" i="5"/>
  <c r="M78" i="5"/>
  <c r="L78" i="5"/>
  <c r="K78" i="5"/>
  <c r="J78" i="5"/>
  <c r="O77" i="5"/>
  <c r="N77" i="5"/>
  <c r="M77" i="5"/>
  <c r="L77" i="5"/>
  <c r="K77" i="5"/>
  <c r="J77" i="5"/>
  <c r="O63" i="5"/>
  <c r="N63" i="5"/>
  <c r="M63" i="5"/>
  <c r="L63" i="5"/>
  <c r="K63" i="5"/>
  <c r="J63" i="5"/>
  <c r="I63" i="5"/>
  <c r="I111" i="5" s="1"/>
  <c r="H63" i="5"/>
  <c r="H111" i="5" s="1"/>
  <c r="G63" i="5"/>
  <c r="G159" i="5" s="1"/>
  <c r="F63" i="5"/>
  <c r="E63" i="5"/>
  <c r="E159" i="5" s="1"/>
  <c r="D63" i="5"/>
  <c r="O62" i="5"/>
  <c r="N62" i="5"/>
  <c r="M62" i="5"/>
  <c r="L62" i="5"/>
  <c r="K62" i="5"/>
  <c r="J62" i="5"/>
  <c r="I62" i="5"/>
  <c r="I158" i="5" s="1"/>
  <c r="H62" i="5"/>
  <c r="G62" i="5"/>
  <c r="G110" i="5" s="1"/>
  <c r="F62" i="5"/>
  <c r="E62" i="5"/>
  <c r="E110" i="5" s="1"/>
  <c r="D62" i="5"/>
  <c r="D158" i="5" s="1"/>
  <c r="O61" i="5"/>
  <c r="N61" i="5"/>
  <c r="M61" i="5"/>
  <c r="L61" i="5"/>
  <c r="K61" i="5"/>
  <c r="J61" i="5"/>
  <c r="I61" i="5"/>
  <c r="I157" i="5" s="1"/>
  <c r="H61" i="5"/>
  <c r="H109" i="5" s="1"/>
  <c r="G61" i="5"/>
  <c r="G157" i="5" s="1"/>
  <c r="F61" i="5"/>
  <c r="E61" i="5"/>
  <c r="D61" i="5"/>
  <c r="I60" i="5"/>
  <c r="H60" i="5"/>
  <c r="G60" i="5"/>
  <c r="G156" i="5" s="1"/>
  <c r="F60" i="5"/>
  <c r="E60" i="5"/>
  <c r="E108" i="5" s="1"/>
  <c r="D60" i="5"/>
  <c r="D156" i="5" s="1"/>
  <c r="O59" i="5"/>
  <c r="N59" i="5"/>
  <c r="M59" i="5"/>
  <c r="L59" i="5"/>
  <c r="K59" i="5"/>
  <c r="J59" i="5"/>
  <c r="O58" i="5"/>
  <c r="N58" i="5"/>
  <c r="M58" i="5"/>
  <c r="L58" i="5"/>
  <c r="L60" i="5" s="1"/>
  <c r="K58" i="5"/>
  <c r="J58" i="5"/>
  <c r="I58" i="5"/>
  <c r="I154" i="5" s="1"/>
  <c r="H58" i="5"/>
  <c r="H106" i="5" s="1"/>
  <c r="G58" i="5"/>
  <c r="G154" i="5" s="1"/>
  <c r="F58" i="5"/>
  <c r="E58" i="5"/>
  <c r="E106" i="5" s="1"/>
  <c r="D58" i="5"/>
  <c r="I55" i="5"/>
  <c r="I103" i="5" s="1"/>
  <c r="H55" i="5"/>
  <c r="H103" i="5" s="1"/>
  <c r="G55" i="5"/>
  <c r="G151" i="5" s="1"/>
  <c r="F55" i="5"/>
  <c r="E55" i="5"/>
  <c r="E103" i="5" s="1"/>
  <c r="D55" i="5"/>
  <c r="D151" i="5" s="1"/>
  <c r="O54" i="5"/>
  <c r="N54" i="5"/>
  <c r="M54" i="5"/>
  <c r="L54" i="5"/>
  <c r="K54" i="5"/>
  <c r="J54" i="5"/>
  <c r="I53" i="5"/>
  <c r="I101" i="5" s="1"/>
  <c r="H53" i="5"/>
  <c r="H149" i="5" s="1"/>
  <c r="G53" i="5"/>
  <c r="F53" i="5"/>
  <c r="E53" i="5"/>
  <c r="D53" i="5"/>
  <c r="O52" i="5"/>
  <c r="N52" i="5"/>
  <c r="M52" i="5"/>
  <c r="L52" i="5"/>
  <c r="K52" i="5"/>
  <c r="J52" i="5"/>
  <c r="I51" i="5"/>
  <c r="I147" i="5" s="1"/>
  <c r="H51" i="5"/>
  <c r="H99" i="5" s="1"/>
  <c r="G51" i="5"/>
  <c r="G147" i="5" s="1"/>
  <c r="F51" i="5"/>
  <c r="F49" i="5" s="1"/>
  <c r="E51" i="5"/>
  <c r="E99" i="5" s="1"/>
  <c r="D51" i="5"/>
  <c r="I50" i="5"/>
  <c r="I98" i="5" s="1"/>
  <c r="H50" i="5"/>
  <c r="H98" i="5" s="1"/>
  <c r="G50" i="5"/>
  <c r="F50" i="5"/>
  <c r="E50" i="5"/>
  <c r="E98" i="5" s="1"/>
  <c r="D50" i="5"/>
  <c r="D146" i="5" s="1"/>
  <c r="O49" i="5"/>
  <c r="N49" i="5"/>
  <c r="M49" i="5"/>
  <c r="L49" i="5"/>
  <c r="K49" i="5"/>
  <c r="J49" i="5"/>
  <c r="O48" i="5"/>
  <c r="N48" i="5"/>
  <c r="M48" i="5"/>
  <c r="L48" i="5"/>
  <c r="K48" i="5"/>
  <c r="J48" i="5"/>
  <c r="I42" i="5"/>
  <c r="H42" i="5"/>
  <c r="H90" i="5" s="1"/>
  <c r="G42" i="5"/>
  <c r="G138" i="5" s="1"/>
  <c r="F42" i="5"/>
  <c r="E42" i="5"/>
  <c r="E138" i="5" s="1"/>
  <c r="D42" i="5"/>
  <c r="I41" i="5"/>
  <c r="H41" i="5"/>
  <c r="G41" i="5"/>
  <c r="F41" i="5"/>
  <c r="E41" i="5"/>
  <c r="D41" i="5"/>
  <c r="D137" i="5" s="1"/>
  <c r="O38" i="5"/>
  <c r="N38" i="5"/>
  <c r="M38" i="5"/>
  <c r="L38" i="5"/>
  <c r="K38" i="5"/>
  <c r="J38" i="5"/>
  <c r="O37" i="5"/>
  <c r="N37" i="5"/>
  <c r="M37" i="5"/>
  <c r="L37" i="5"/>
  <c r="K37" i="5"/>
  <c r="J37" i="5"/>
  <c r="I36" i="5"/>
  <c r="H36" i="5"/>
  <c r="H84" i="5" s="1"/>
  <c r="G36" i="5"/>
  <c r="G38" i="5" s="1"/>
  <c r="F36" i="5"/>
  <c r="E36" i="5"/>
  <c r="E84" i="5" s="1"/>
  <c r="D36" i="5"/>
  <c r="D132" i="5" s="1"/>
  <c r="I35" i="5"/>
  <c r="H35" i="5"/>
  <c r="H83" i="5" s="1"/>
  <c r="G35" i="5"/>
  <c r="F35" i="5"/>
  <c r="F32" i="5" s="1"/>
  <c r="F128" i="5" s="1"/>
  <c r="E35" i="5"/>
  <c r="E131" i="5" s="1"/>
  <c r="D35" i="5"/>
  <c r="O34" i="5"/>
  <c r="N34" i="5"/>
  <c r="M34" i="5"/>
  <c r="L34" i="5"/>
  <c r="K34" i="5"/>
  <c r="J34" i="5"/>
  <c r="O32" i="5"/>
  <c r="N32" i="5"/>
  <c r="M32" i="5"/>
  <c r="L32" i="5"/>
  <c r="L53" i="5" s="1"/>
  <c r="K32" i="5"/>
  <c r="J32" i="5"/>
  <c r="O30" i="5"/>
  <c r="N30" i="5"/>
  <c r="M30" i="5"/>
  <c r="L30" i="5"/>
  <c r="K30" i="5"/>
  <c r="J30" i="5"/>
  <c r="I30" i="5"/>
  <c r="H30" i="5"/>
  <c r="G30" i="5"/>
  <c r="F30" i="5"/>
  <c r="F126" i="5" s="1"/>
  <c r="E30" i="5"/>
  <c r="E126" i="5" s="1"/>
  <c r="D30" i="5"/>
  <c r="D78" i="5" s="1"/>
  <c r="O29" i="5"/>
  <c r="N29" i="5"/>
  <c r="M29" i="5"/>
  <c r="L29" i="5"/>
  <c r="K29" i="5"/>
  <c r="K31" i="5" s="1"/>
  <c r="J29" i="5"/>
  <c r="O45" i="4"/>
  <c r="N45" i="4"/>
  <c r="M45" i="4"/>
  <c r="L45" i="4"/>
  <c r="K45" i="4"/>
  <c r="J45" i="4"/>
  <c r="I45" i="4"/>
  <c r="I87" i="6" s="1"/>
  <c r="I153" i="6" s="1"/>
  <c r="H45" i="4"/>
  <c r="H87" i="6" s="1"/>
  <c r="G45" i="4"/>
  <c r="G87" i="6" s="1"/>
  <c r="G153" i="6" s="1"/>
  <c r="F45" i="4"/>
  <c r="F87" i="6" s="1"/>
  <c r="E45" i="4"/>
  <c r="E87" i="6" s="1"/>
  <c r="D45" i="4"/>
  <c r="D87" i="6" s="1"/>
  <c r="O44" i="4"/>
  <c r="N44" i="4"/>
  <c r="M44" i="4"/>
  <c r="L44" i="4"/>
  <c r="K44" i="4"/>
  <c r="J44" i="4"/>
  <c r="I44" i="4"/>
  <c r="I86" i="6" s="1"/>
  <c r="H44" i="4"/>
  <c r="H86" i="6" s="1"/>
  <c r="G44" i="4"/>
  <c r="G86" i="6" s="1"/>
  <c r="F44" i="4"/>
  <c r="F86" i="6" s="1"/>
  <c r="E44" i="4"/>
  <c r="E86" i="6" s="1"/>
  <c r="E152" i="6" s="1"/>
  <c r="D44" i="4"/>
  <c r="D86" i="6" s="1"/>
  <c r="O43" i="4"/>
  <c r="N43" i="4"/>
  <c r="M43" i="4"/>
  <c r="L43" i="4"/>
  <c r="K43" i="4"/>
  <c r="J43" i="4"/>
  <c r="I43" i="4"/>
  <c r="I85" i="6" s="1"/>
  <c r="H43" i="4"/>
  <c r="H85" i="6" s="1"/>
  <c r="G43" i="4"/>
  <c r="G85" i="6" s="1"/>
  <c r="F43" i="4"/>
  <c r="F85" i="6" s="1"/>
  <c r="E43" i="4"/>
  <c r="E85" i="6" s="1"/>
  <c r="D43" i="4"/>
  <c r="D85" i="6" s="1"/>
  <c r="O41" i="4"/>
  <c r="N41" i="4"/>
  <c r="M41" i="4"/>
  <c r="L41" i="4"/>
  <c r="K41" i="4"/>
  <c r="J41" i="4"/>
  <c r="I41" i="4"/>
  <c r="I83" i="6" s="1"/>
  <c r="I216" i="6" s="1"/>
  <c r="H41" i="4"/>
  <c r="H83" i="6" s="1"/>
  <c r="H216" i="6" s="1"/>
  <c r="G41" i="4"/>
  <c r="G83" i="6" s="1"/>
  <c r="F41" i="4"/>
  <c r="E41" i="4"/>
  <c r="D41" i="4"/>
  <c r="O40" i="4"/>
  <c r="N40" i="4"/>
  <c r="M40" i="4"/>
  <c r="L40" i="4"/>
  <c r="K40" i="4"/>
  <c r="J40" i="4"/>
  <c r="I40" i="4"/>
  <c r="H40" i="4"/>
  <c r="H82" i="6" s="1"/>
  <c r="H214" i="6" s="1"/>
  <c r="G40" i="4"/>
  <c r="G82" i="6" s="1"/>
  <c r="G214" i="6" s="1"/>
  <c r="F40" i="4"/>
  <c r="F82" i="6" s="1"/>
  <c r="E40" i="4"/>
  <c r="E82" i="6" s="1"/>
  <c r="E214" i="6" s="1"/>
  <c r="D40" i="4"/>
  <c r="D82" i="6" s="1"/>
  <c r="O35" i="4"/>
  <c r="N35" i="4"/>
  <c r="M35" i="4"/>
  <c r="L35" i="4"/>
  <c r="K35" i="4"/>
  <c r="J35" i="4"/>
  <c r="I35" i="4"/>
  <c r="I80" i="6" s="1"/>
  <c r="H35" i="4"/>
  <c r="H80" i="6" s="1"/>
  <c r="G35" i="4"/>
  <c r="G80" i="6" s="1"/>
  <c r="F35" i="4"/>
  <c r="F80" i="6" s="1"/>
  <c r="E35" i="4"/>
  <c r="E80" i="6" s="1"/>
  <c r="D35" i="4"/>
  <c r="D80" i="6" s="1"/>
  <c r="O33" i="4"/>
  <c r="N33" i="4"/>
  <c r="M33" i="4"/>
  <c r="L33" i="4"/>
  <c r="K33" i="4"/>
  <c r="J33" i="4"/>
  <c r="I33" i="4"/>
  <c r="I78" i="6" s="1"/>
  <c r="I201" i="6" s="1"/>
  <c r="H33" i="4"/>
  <c r="H78" i="6" s="1"/>
  <c r="H201" i="6" s="1"/>
  <c r="G33" i="4"/>
  <c r="G78" i="6" s="1"/>
  <c r="G201" i="6" s="1"/>
  <c r="F33" i="4"/>
  <c r="F78" i="6" s="1"/>
  <c r="F201" i="6" s="1"/>
  <c r="E33" i="4"/>
  <c r="E78" i="6" s="1"/>
  <c r="E201" i="6" s="1"/>
  <c r="D33" i="4"/>
  <c r="D78" i="6" s="1"/>
  <c r="D201" i="6" s="1"/>
  <c r="O31" i="4"/>
  <c r="O30" i="4"/>
  <c r="N30" i="4"/>
  <c r="M30" i="4"/>
  <c r="L30" i="4"/>
  <c r="K30" i="4"/>
  <c r="J30" i="4"/>
  <c r="I30" i="4"/>
  <c r="I76" i="6" s="1"/>
  <c r="I185" i="6" s="1"/>
  <c r="H30" i="4"/>
  <c r="H76" i="6" s="1"/>
  <c r="H185" i="6" s="1"/>
  <c r="G30" i="4"/>
  <c r="G76" i="6" s="1"/>
  <c r="G185" i="6" s="1"/>
  <c r="F30" i="4"/>
  <c r="F76" i="6" s="1"/>
  <c r="F185" i="6" s="1"/>
  <c r="E30" i="4"/>
  <c r="E76" i="6" s="1"/>
  <c r="E185" i="6" s="1"/>
  <c r="D30" i="4"/>
  <c r="D76" i="6" s="1"/>
  <c r="D185" i="6" s="1"/>
  <c r="O29" i="4"/>
  <c r="N29" i="4"/>
  <c r="M29" i="4"/>
  <c r="L29" i="4"/>
  <c r="K29" i="4"/>
  <c r="J29" i="4"/>
  <c r="I29" i="4"/>
  <c r="H29" i="4"/>
  <c r="H75" i="6" s="1"/>
  <c r="H181" i="6" s="1"/>
  <c r="G29" i="4"/>
  <c r="G75" i="6" s="1"/>
  <c r="G181" i="6" s="1"/>
  <c r="F29" i="4"/>
  <c r="F75" i="6" s="1"/>
  <c r="F181" i="6" s="1"/>
  <c r="E29" i="4"/>
  <c r="E75" i="6" s="1"/>
  <c r="E181" i="6" s="1"/>
  <c r="D29" i="4"/>
  <c r="D75" i="6" s="1"/>
  <c r="D181" i="6" s="1"/>
  <c r="O17" i="4"/>
  <c r="N17" i="4"/>
  <c r="M17" i="4"/>
  <c r="L17" i="4"/>
  <c r="K17" i="4"/>
  <c r="J17" i="4"/>
  <c r="I17" i="4"/>
  <c r="I68" i="6" s="1"/>
  <c r="I167" i="6" s="1"/>
  <c r="H17" i="4"/>
  <c r="H68" i="6" s="1"/>
  <c r="H167" i="6" s="1"/>
  <c r="G17" i="4"/>
  <c r="G68" i="6" s="1"/>
  <c r="G167" i="6" s="1"/>
  <c r="F17" i="4"/>
  <c r="F68" i="6" s="1"/>
  <c r="F167" i="6" s="1"/>
  <c r="E17" i="4"/>
  <c r="E68" i="6" s="1"/>
  <c r="E167" i="6" s="1"/>
  <c r="D17" i="4"/>
  <c r="D68" i="6" s="1"/>
  <c r="D167" i="6" s="1"/>
  <c r="O16" i="4"/>
  <c r="N16" i="4"/>
  <c r="M16" i="4"/>
  <c r="L16" i="4"/>
  <c r="K16" i="4"/>
  <c r="J16" i="4"/>
  <c r="I16" i="4"/>
  <c r="I67" i="6" s="1"/>
  <c r="H16" i="4"/>
  <c r="H67" i="6" s="1"/>
  <c r="H165" i="6" s="1"/>
  <c r="G16" i="4"/>
  <c r="G67" i="6" s="1"/>
  <c r="G165" i="6" s="1"/>
  <c r="F16" i="4"/>
  <c r="F67" i="6" s="1"/>
  <c r="F165" i="6" s="1"/>
  <c r="E16" i="4"/>
  <c r="E67" i="6" s="1"/>
  <c r="E165" i="6" s="1"/>
  <c r="D16" i="4"/>
  <c r="D67" i="6" s="1"/>
  <c r="D165" i="6" s="1"/>
  <c r="O13" i="4"/>
  <c r="N13" i="4"/>
  <c r="M13" i="4"/>
  <c r="L13" i="4"/>
  <c r="K13" i="4"/>
  <c r="J13" i="4"/>
  <c r="I13" i="4"/>
  <c r="I66" i="6" s="1"/>
  <c r="I163" i="6" s="1"/>
  <c r="H13" i="4"/>
  <c r="H66" i="6" s="1"/>
  <c r="H163" i="6" s="1"/>
  <c r="G13" i="4"/>
  <c r="G66" i="6" s="1"/>
  <c r="G163" i="6" s="1"/>
  <c r="F13" i="4"/>
  <c r="F66" i="6" s="1"/>
  <c r="F163" i="6" s="1"/>
  <c r="E13" i="4"/>
  <c r="E66" i="6" s="1"/>
  <c r="E163" i="6" s="1"/>
  <c r="D13" i="4"/>
  <c r="O11" i="4"/>
  <c r="N11" i="4"/>
  <c r="M11" i="4"/>
  <c r="L11" i="4"/>
  <c r="K11" i="4"/>
  <c r="J11" i="4"/>
  <c r="J34" i="4" s="1"/>
  <c r="I11" i="4"/>
  <c r="I62" i="6" s="1"/>
  <c r="H11" i="4"/>
  <c r="H62" i="6" s="1"/>
  <c r="G11" i="4"/>
  <c r="G31" i="4" s="1"/>
  <c r="F11" i="4"/>
  <c r="E11" i="4"/>
  <c r="D11" i="4"/>
  <c r="O9" i="4"/>
  <c r="N9" i="4"/>
  <c r="M9" i="4"/>
  <c r="L9" i="4"/>
  <c r="K9" i="4"/>
  <c r="K10" i="4" s="1"/>
  <c r="J9" i="4"/>
  <c r="I9" i="4"/>
  <c r="H9" i="4"/>
  <c r="G9" i="4"/>
  <c r="F9" i="4"/>
  <c r="E9" i="4"/>
  <c r="D9" i="4"/>
  <c r="O8" i="4"/>
  <c r="N8" i="4"/>
  <c r="M8" i="4"/>
  <c r="L8" i="4"/>
  <c r="K8" i="4"/>
  <c r="J8" i="4"/>
  <c r="J10" i="4" s="1"/>
  <c r="I8" i="4"/>
  <c r="I29" i="5" s="1"/>
  <c r="H8" i="4"/>
  <c r="H29" i="5" s="1"/>
  <c r="G8" i="4"/>
  <c r="G29" i="5" s="1"/>
  <c r="F8" i="4"/>
  <c r="E8" i="4"/>
  <c r="D8" i="4"/>
  <c r="L10" i="4" l="1"/>
  <c r="L12" i="4" s="1"/>
  <c r="X10" i="7" s="1"/>
  <c r="O31" i="5"/>
  <c r="E78" i="5"/>
  <c r="K99" i="5"/>
  <c r="H26" i="6"/>
  <c r="H30" i="6" s="1"/>
  <c r="J105" i="6"/>
  <c r="D37" i="6" s="1"/>
  <c r="O60" i="5"/>
  <c r="J79" i="5"/>
  <c r="I95" i="6"/>
  <c r="G32" i="5"/>
  <c r="G34" i="5" s="1"/>
  <c r="O99" i="5"/>
  <c r="K60" i="5"/>
  <c r="H52" i="6"/>
  <c r="J120" i="6"/>
  <c r="K42" i="4"/>
  <c r="H42" i="4"/>
  <c r="H84" i="6" s="1"/>
  <c r="H218" i="6" s="1"/>
  <c r="O42" i="4"/>
  <c r="H10" i="4"/>
  <c r="H61" i="6" s="1"/>
  <c r="H32" i="5"/>
  <c r="H80" i="5" s="1"/>
  <c r="H49" i="5"/>
  <c r="H145" i="5" s="1"/>
  <c r="I10" i="4"/>
  <c r="I61" i="6" s="1"/>
  <c r="M9" i="5"/>
  <c r="J53" i="5"/>
  <c r="N10" i="4"/>
  <c r="J42" i="4"/>
  <c r="F42" i="4"/>
  <c r="F84" i="6" s="1"/>
  <c r="F218" i="6" s="1"/>
  <c r="N42" i="4"/>
  <c r="P9" i="5"/>
  <c r="K33" i="5"/>
  <c r="Y9" i="7" s="1"/>
  <c r="I37" i="5"/>
  <c r="K79" i="5"/>
  <c r="K81" i="5" s="1"/>
  <c r="N108" i="5"/>
  <c r="D108" i="5"/>
  <c r="J149" i="5"/>
  <c r="J156" i="5"/>
  <c r="D32" i="5"/>
  <c r="D80" i="5" s="1"/>
  <c r="K84" i="5"/>
  <c r="K83" i="5" s="1"/>
  <c r="K89" i="5" s="1"/>
  <c r="M156" i="5"/>
  <c r="J119" i="6"/>
  <c r="D49" i="5"/>
  <c r="N156" i="5"/>
  <c r="E66" i="5"/>
  <c r="E114" i="5" s="1"/>
  <c r="L101" i="5"/>
  <c r="D10" i="4"/>
  <c r="D61" i="6" s="1"/>
  <c r="D127" i="6" s="1"/>
  <c r="F66" i="5"/>
  <c r="F114" i="5" s="1"/>
  <c r="M10" i="4"/>
  <c r="I49" i="5"/>
  <c r="I145" i="5" s="1"/>
  <c r="I110" i="5"/>
  <c r="M149" i="5"/>
  <c r="G95" i="6"/>
  <c r="G162" i="6" s="1"/>
  <c r="I100" i="6"/>
  <c r="I166" i="6" s="1"/>
  <c r="D145" i="5"/>
  <c r="D97" i="5"/>
  <c r="D17" i="8"/>
  <c r="F17" i="8" s="1"/>
  <c r="D31" i="4"/>
  <c r="D74" i="6" s="1"/>
  <c r="D140" i="6" s="1"/>
  <c r="L31" i="4"/>
  <c r="L32" i="4" s="1"/>
  <c r="H31" i="4"/>
  <c r="H32" i="4" s="1"/>
  <c r="I34" i="4"/>
  <c r="I79" i="6" s="1"/>
  <c r="I203" i="6" s="1"/>
  <c r="J36" i="5"/>
  <c r="J35" i="5" s="1"/>
  <c r="J41" i="5" s="1"/>
  <c r="D147" i="8"/>
  <c r="F147" i="8" s="1"/>
  <c r="F78" i="5"/>
  <c r="O108" i="5"/>
  <c r="N127" i="5"/>
  <c r="M146" i="5"/>
  <c r="E154" i="5"/>
  <c r="H31" i="6"/>
  <c r="D106" i="6"/>
  <c r="D103" i="6" s="1"/>
  <c r="D121" i="6"/>
  <c r="J115" i="6"/>
  <c r="H34" i="4"/>
  <c r="H79" i="6" s="1"/>
  <c r="H203" i="6" s="1"/>
  <c r="L31" i="5"/>
  <c r="K36" i="5"/>
  <c r="E43" i="5"/>
  <c r="E91" i="5" s="1"/>
  <c r="E147" i="5"/>
  <c r="I149" i="5"/>
  <c r="D22" i="8"/>
  <c r="F22" i="8" s="1"/>
  <c r="J87" i="6"/>
  <c r="E45" i="6" s="1"/>
  <c r="M31" i="5"/>
  <c r="O33" i="5"/>
  <c r="Y13" i="7" s="1"/>
  <c r="J81" i="5"/>
  <c r="J97" i="6"/>
  <c r="D28" i="6" s="1"/>
  <c r="I116" i="6"/>
  <c r="L9" i="8"/>
  <c r="L42" i="4"/>
  <c r="G10" i="4"/>
  <c r="G61" i="6" s="1"/>
  <c r="O10" i="4"/>
  <c r="M42" i="4"/>
  <c r="F153" i="6"/>
  <c r="N31" i="5"/>
  <c r="N33" i="5" s="1"/>
  <c r="Y12" i="7" s="1"/>
  <c r="J31" i="5"/>
  <c r="J33" i="5" s="1"/>
  <c r="Y8" i="7" s="1"/>
  <c r="M53" i="5"/>
  <c r="I38" i="5"/>
  <c r="I86" i="5" s="1"/>
  <c r="M60" i="5"/>
  <c r="D149" i="8"/>
  <c r="F149" i="8" s="1"/>
  <c r="D89" i="5"/>
  <c r="J108" i="5"/>
  <c r="L108" i="5"/>
  <c r="L146" i="5"/>
  <c r="L147" i="5" s="1"/>
  <c r="K156" i="5"/>
  <c r="H38" i="6"/>
  <c r="J117" i="6"/>
  <c r="D42" i="6" s="1"/>
  <c r="O32" i="4"/>
  <c r="J85" i="6"/>
  <c r="E43" i="6" s="1"/>
  <c r="H12" i="4"/>
  <c r="X6" i="7" s="1"/>
  <c r="H15" i="4"/>
  <c r="H65" i="6" s="1"/>
  <c r="H131" i="6" s="1"/>
  <c r="E32" i="5"/>
  <c r="N53" i="5"/>
  <c r="E49" i="5"/>
  <c r="E97" i="5" s="1"/>
  <c r="N60" i="5"/>
  <c r="M79" i="5"/>
  <c r="M81" i="5" s="1"/>
  <c r="E89" i="5"/>
  <c r="L98" i="5"/>
  <c r="L99" i="5" s="1"/>
  <c r="O101" i="5"/>
  <c r="E137" i="5"/>
  <c r="L156" i="5"/>
  <c r="H51" i="6"/>
  <c r="I15" i="4"/>
  <c r="I65" i="6" s="1"/>
  <c r="I131" i="6" s="1"/>
  <c r="G59" i="5"/>
  <c r="G155" i="5" s="1"/>
  <c r="N79" i="5"/>
  <c r="N81" i="5" s="1"/>
  <c r="O84" i="5"/>
  <c r="O90" i="5" s="1"/>
  <c r="E90" i="5"/>
  <c r="G111" i="5"/>
  <c r="N149" i="5"/>
  <c r="E132" i="5"/>
  <c r="F109" i="6"/>
  <c r="J31" i="4"/>
  <c r="J32" i="4" s="1"/>
  <c r="J12" i="4"/>
  <c r="X8" i="7" s="1"/>
  <c r="K15" i="4"/>
  <c r="K22" i="4" s="1"/>
  <c r="J15" i="4"/>
  <c r="J22" i="4" s="1"/>
  <c r="G42" i="4"/>
  <c r="G84" i="6" s="1"/>
  <c r="G218" i="6" s="1"/>
  <c r="D141" i="8"/>
  <c r="F141" i="8" s="1"/>
  <c r="O79" i="5"/>
  <c r="O81" i="5" s="1"/>
  <c r="H132" i="5"/>
  <c r="H157" i="5"/>
  <c r="J127" i="5"/>
  <c r="J129" i="5" s="1"/>
  <c r="K127" i="5"/>
  <c r="K129" i="5" s="1"/>
  <c r="M138" i="5"/>
  <c r="M139" i="5" s="1"/>
  <c r="M127" i="5"/>
  <c r="M129" i="5" s="1"/>
  <c r="L79" i="5"/>
  <c r="L81" i="5" s="1"/>
  <c r="I77" i="5"/>
  <c r="I125" i="5"/>
  <c r="I31" i="5"/>
  <c r="M31" i="4"/>
  <c r="M32" i="4" s="1"/>
  <c r="M34" i="4"/>
  <c r="M12" i="4"/>
  <c r="X11" i="7" s="1"/>
  <c r="M15" i="4"/>
  <c r="M22" i="4" s="1"/>
  <c r="G149" i="5"/>
  <c r="G101" i="5"/>
  <c r="G52" i="5"/>
  <c r="D29" i="5"/>
  <c r="P8" i="4"/>
  <c r="P9" i="4"/>
  <c r="G62" i="6"/>
  <c r="G34" i="4"/>
  <c r="G79" i="6" s="1"/>
  <c r="G203" i="6" s="1"/>
  <c r="G208" i="6" s="1"/>
  <c r="G12" i="4"/>
  <c r="G15" i="4"/>
  <c r="O34" i="4"/>
  <c r="O12" i="4"/>
  <c r="X13" i="7" s="1"/>
  <c r="O15" i="4"/>
  <c r="I84" i="5"/>
  <c r="I132" i="5"/>
  <c r="I32" i="5"/>
  <c r="I34" i="5" s="1"/>
  <c r="J60" i="5"/>
  <c r="D27" i="8"/>
  <c r="F27" i="8" s="1"/>
  <c r="D66" i="6"/>
  <c r="D163" i="6" s="1"/>
  <c r="G137" i="5"/>
  <c r="G89" i="5"/>
  <c r="G37" i="5"/>
  <c r="G43" i="5"/>
  <c r="D148" i="8"/>
  <c r="F148" i="8" s="1"/>
  <c r="J50" i="5"/>
  <c r="D64" i="8"/>
  <c r="F64" i="8" s="1"/>
  <c r="D63" i="8"/>
  <c r="F63" i="8" s="1"/>
  <c r="F62" i="6"/>
  <c r="F31" i="4"/>
  <c r="F34" i="4"/>
  <c r="F79" i="6" s="1"/>
  <c r="F203" i="6" s="1"/>
  <c r="F208" i="6" s="1"/>
  <c r="F15" i="4"/>
  <c r="F14" i="4" s="1"/>
  <c r="I75" i="6"/>
  <c r="I181" i="6" s="1"/>
  <c r="I31" i="4"/>
  <c r="E29" i="5"/>
  <c r="E10" i="4"/>
  <c r="E61" i="6" s="1"/>
  <c r="E127" i="6" s="1"/>
  <c r="O50" i="5"/>
  <c r="O51" i="5" s="1"/>
  <c r="O53" i="5"/>
  <c r="O36" i="5"/>
  <c r="O42" i="5" s="1"/>
  <c r="G49" i="5"/>
  <c r="D32" i="4"/>
  <c r="E62" i="6"/>
  <c r="E31" i="4"/>
  <c r="E34" i="4"/>
  <c r="E79" i="6" s="1"/>
  <c r="E203" i="6" s="1"/>
  <c r="E12" i="4"/>
  <c r="E15" i="4"/>
  <c r="E14" i="4" s="1"/>
  <c r="N31" i="4"/>
  <c r="N32" i="4" s="1"/>
  <c r="N12" i="4"/>
  <c r="X12" i="7" s="1"/>
  <c r="N34" i="4"/>
  <c r="N15" i="4"/>
  <c r="F29" i="5"/>
  <c r="F10" i="4"/>
  <c r="F61" i="6" s="1"/>
  <c r="F127" i="6" s="1"/>
  <c r="G74" i="6"/>
  <c r="G32" i="4"/>
  <c r="G128" i="5"/>
  <c r="G80" i="5"/>
  <c r="G146" i="5"/>
  <c r="G98" i="5"/>
  <c r="G48" i="5"/>
  <c r="D110" i="5"/>
  <c r="P62" i="5"/>
  <c r="M98" i="5"/>
  <c r="M99" i="5" s="1"/>
  <c r="M84" i="5"/>
  <c r="M90" i="5" s="1"/>
  <c r="M101" i="5"/>
  <c r="N9" i="5"/>
  <c r="O9" i="5" s="1"/>
  <c r="E83" i="6"/>
  <c r="E216" i="6" s="1"/>
  <c r="E42" i="4"/>
  <c r="E84" i="6" s="1"/>
  <c r="E218" i="6" s="1"/>
  <c r="G125" i="5"/>
  <c r="G77" i="5"/>
  <c r="G31" i="5"/>
  <c r="G33" i="5" s="1"/>
  <c r="H74" i="6"/>
  <c r="H183" i="6" s="1"/>
  <c r="I133" i="5"/>
  <c r="I85" i="5"/>
  <c r="I82" i="6"/>
  <c r="I214" i="6" s="1"/>
  <c r="I42" i="4"/>
  <c r="I84" i="6" s="1"/>
  <c r="D83" i="6"/>
  <c r="D216" i="6" s="1"/>
  <c r="D42" i="4"/>
  <c r="G126" i="5"/>
  <c r="G78" i="5"/>
  <c r="G131" i="5"/>
  <c r="G83" i="5"/>
  <c r="I137" i="5"/>
  <c r="I89" i="5"/>
  <c r="I43" i="5"/>
  <c r="N101" i="5"/>
  <c r="N98" i="5"/>
  <c r="N99" i="5" s="1"/>
  <c r="N84" i="5"/>
  <c r="N90" i="5" s="1"/>
  <c r="H179" i="6"/>
  <c r="H199" i="6"/>
  <c r="H161" i="6"/>
  <c r="P11" i="4"/>
  <c r="K12" i="4"/>
  <c r="X9" i="7" s="1"/>
  <c r="I14" i="4"/>
  <c r="D15" i="4"/>
  <c r="L15" i="4"/>
  <c r="K34" i="4"/>
  <c r="D214" i="6"/>
  <c r="D148" i="6"/>
  <c r="J82" i="6"/>
  <c r="J148" i="6" s="1"/>
  <c r="G216" i="6"/>
  <c r="G221" i="6" s="1"/>
  <c r="G149" i="6"/>
  <c r="P44" i="4"/>
  <c r="I126" i="5"/>
  <c r="I78" i="5"/>
  <c r="G90" i="5"/>
  <c r="E111" i="5"/>
  <c r="F83" i="6"/>
  <c r="F216" i="6" s="1"/>
  <c r="H125" i="5"/>
  <c r="H31" i="5"/>
  <c r="H77" i="5"/>
  <c r="I179" i="6"/>
  <c r="I199" i="6"/>
  <c r="I161" i="6"/>
  <c r="K31" i="4"/>
  <c r="K32" i="4" s="1"/>
  <c r="D34" i="4"/>
  <c r="L34" i="4"/>
  <c r="I131" i="5"/>
  <c r="I83" i="5"/>
  <c r="G99" i="5"/>
  <c r="G66" i="5"/>
  <c r="K53" i="5"/>
  <c r="D159" i="5"/>
  <c r="D111" i="5"/>
  <c r="P63" i="5"/>
  <c r="G86" i="5"/>
  <c r="G134" i="5"/>
  <c r="I165" i="6"/>
  <c r="F214" i="6"/>
  <c r="F148" i="6"/>
  <c r="K50" i="5"/>
  <c r="K51" i="5" s="1"/>
  <c r="I37" i="6"/>
  <c r="J37" i="6" s="1"/>
  <c r="H55" i="6"/>
  <c r="P43" i="4"/>
  <c r="G132" i="5"/>
  <c r="G84" i="5"/>
  <c r="I138" i="5"/>
  <c r="I90" i="5"/>
  <c r="G107" i="5"/>
  <c r="D62" i="6"/>
  <c r="P40" i="4"/>
  <c r="D152" i="6"/>
  <c r="J86" i="6"/>
  <c r="E44" i="6" s="1"/>
  <c r="P45" i="4"/>
  <c r="D128" i="5"/>
  <c r="L33" i="5"/>
  <c r="Y10" i="7" s="1"/>
  <c r="D83" i="5"/>
  <c r="D131" i="5"/>
  <c r="L36" i="5"/>
  <c r="L42" i="5" s="1"/>
  <c r="D37" i="5"/>
  <c r="D38" i="5"/>
  <c r="D90" i="5"/>
  <c r="D138" i="5"/>
  <c r="D43" i="5"/>
  <c r="L50" i="5"/>
  <c r="L51" i="5" s="1"/>
  <c r="D131" i="8"/>
  <c r="F131" i="8" s="1"/>
  <c r="D147" i="5"/>
  <c r="D99" i="5"/>
  <c r="D52" i="5"/>
  <c r="D154" i="5"/>
  <c r="D106" i="5"/>
  <c r="D59" i="5"/>
  <c r="D109" i="5"/>
  <c r="D157" i="5"/>
  <c r="F159" i="5"/>
  <c r="F111" i="5"/>
  <c r="F80" i="5"/>
  <c r="D84" i="5"/>
  <c r="G106" i="5"/>
  <c r="O127" i="5"/>
  <c r="O129" i="5" s="1"/>
  <c r="O149" i="5"/>
  <c r="O146" i="5"/>
  <c r="O147" i="5" s="1"/>
  <c r="O132" i="5"/>
  <c r="H147" i="5"/>
  <c r="H154" i="5"/>
  <c r="E158" i="5"/>
  <c r="G200" i="6"/>
  <c r="G111" i="6"/>
  <c r="G96" i="6"/>
  <c r="G180" i="6"/>
  <c r="M33" i="5"/>
  <c r="Y11" i="7" s="1"/>
  <c r="M36" i="5"/>
  <c r="M42" i="5" s="1"/>
  <c r="E37" i="5"/>
  <c r="E38" i="5"/>
  <c r="M50" i="5"/>
  <c r="M51" i="5" s="1"/>
  <c r="E149" i="5"/>
  <c r="E101" i="5"/>
  <c r="E59" i="5"/>
  <c r="E109" i="5"/>
  <c r="E157" i="5"/>
  <c r="F158" i="5"/>
  <c r="F110" i="5"/>
  <c r="H66" i="5"/>
  <c r="E83" i="5"/>
  <c r="K90" i="5"/>
  <c r="K91" i="5" s="1"/>
  <c r="I97" i="5"/>
  <c r="D101" i="5"/>
  <c r="D103" i="5"/>
  <c r="I106" i="5"/>
  <c r="L132" i="5"/>
  <c r="L138" i="5" s="1"/>
  <c r="E146" i="5"/>
  <c r="E151" i="5"/>
  <c r="G158" i="5"/>
  <c r="H159" i="5"/>
  <c r="I180" i="6"/>
  <c r="I128" i="6"/>
  <c r="I200" i="6"/>
  <c r="I162" i="6"/>
  <c r="I99" i="6"/>
  <c r="I96" i="6"/>
  <c r="F34" i="5"/>
  <c r="F131" i="5"/>
  <c r="F83" i="5"/>
  <c r="F132" i="5"/>
  <c r="F84" i="5"/>
  <c r="N36" i="5"/>
  <c r="N42" i="5" s="1"/>
  <c r="F37" i="5"/>
  <c r="F38" i="5"/>
  <c r="F137" i="5"/>
  <c r="F89" i="5"/>
  <c r="F138" i="5"/>
  <c r="F90" i="5"/>
  <c r="F43" i="5"/>
  <c r="F48" i="5"/>
  <c r="F145" i="5"/>
  <c r="F97" i="5"/>
  <c r="F146" i="5"/>
  <c r="F98" i="5"/>
  <c r="N50" i="5"/>
  <c r="N51" i="5" s="1"/>
  <c r="F147" i="5"/>
  <c r="F99" i="5"/>
  <c r="F52" i="5"/>
  <c r="F149" i="5"/>
  <c r="F101" i="5"/>
  <c r="F151" i="5"/>
  <c r="F103" i="5"/>
  <c r="F154" i="5"/>
  <c r="F106" i="5"/>
  <c r="F59" i="5"/>
  <c r="F156" i="5"/>
  <c r="F108" i="5"/>
  <c r="F157" i="5"/>
  <c r="F109" i="5"/>
  <c r="I66" i="5"/>
  <c r="D98" i="5"/>
  <c r="G109" i="5"/>
  <c r="D126" i="5"/>
  <c r="H128" i="5"/>
  <c r="H131" i="5"/>
  <c r="H146" i="5"/>
  <c r="H151" i="5"/>
  <c r="E156" i="5"/>
  <c r="I159" i="5"/>
  <c r="H110" i="5"/>
  <c r="H158" i="5"/>
  <c r="J101" i="5"/>
  <c r="J98" i="5"/>
  <c r="J84" i="5"/>
  <c r="J83" i="5" s="1"/>
  <c r="J89" i="5" s="1"/>
  <c r="H101" i="5"/>
  <c r="G103" i="5"/>
  <c r="K108" i="5"/>
  <c r="I109" i="5"/>
  <c r="I146" i="5"/>
  <c r="D149" i="5"/>
  <c r="I151" i="5"/>
  <c r="H34" i="6"/>
  <c r="H33" i="6"/>
  <c r="H46" i="6"/>
  <c r="D134" i="6"/>
  <c r="D168" i="6"/>
  <c r="I188" i="6"/>
  <c r="I121" i="6"/>
  <c r="I109" i="6"/>
  <c r="I231" i="6"/>
  <c r="G266" i="6" s="1"/>
  <c r="D231" i="6"/>
  <c r="D153" i="6"/>
  <c r="H78" i="5"/>
  <c r="H126" i="5"/>
  <c r="P30" i="5"/>
  <c r="H37" i="5"/>
  <c r="H38" i="5"/>
  <c r="H137" i="5"/>
  <c r="H89" i="5"/>
  <c r="H43" i="5"/>
  <c r="H48" i="5"/>
  <c r="P58" i="5"/>
  <c r="H59" i="5"/>
  <c r="H156" i="5"/>
  <c r="H108" i="5"/>
  <c r="P60" i="5"/>
  <c r="P61" i="5"/>
  <c r="L84" i="5"/>
  <c r="L90" i="5" s="1"/>
  <c r="I99" i="5"/>
  <c r="L129" i="5"/>
  <c r="H138" i="5"/>
  <c r="M147" i="5"/>
  <c r="I42" i="6"/>
  <c r="J42" i="6" s="1"/>
  <c r="H134" i="6"/>
  <c r="H168" i="6"/>
  <c r="D184" i="6"/>
  <c r="J107" i="6"/>
  <c r="D109" i="6"/>
  <c r="G186" i="6"/>
  <c r="G191" i="6" s="1"/>
  <c r="G142" i="6"/>
  <c r="J219" i="6"/>
  <c r="J116" i="6"/>
  <c r="F229" i="6"/>
  <c r="F151" i="6"/>
  <c r="H152" i="6"/>
  <c r="J153" i="6"/>
  <c r="D45" i="6"/>
  <c r="I59" i="5"/>
  <c r="I156" i="5"/>
  <c r="I108" i="5"/>
  <c r="D151" i="8"/>
  <c r="F151" i="8" s="1"/>
  <c r="D66" i="5"/>
  <c r="M108" i="5"/>
  <c r="G108" i="5"/>
  <c r="L149" i="5"/>
  <c r="G127" i="6"/>
  <c r="D122" i="6"/>
  <c r="E184" i="6"/>
  <c r="H27" i="6"/>
  <c r="E100" i="6"/>
  <c r="E106" i="6"/>
  <c r="E113" i="6" s="1"/>
  <c r="E146" i="6" s="1"/>
  <c r="J104" i="6"/>
  <c r="H186" i="6"/>
  <c r="H142" i="6"/>
  <c r="J114" i="6"/>
  <c r="E219" i="6"/>
  <c r="E223" i="6" s="1"/>
  <c r="E116" i="6"/>
  <c r="G151" i="6"/>
  <c r="I230" i="6"/>
  <c r="I152" i="6"/>
  <c r="E204" i="6"/>
  <c r="J112" i="6"/>
  <c r="F219" i="6"/>
  <c r="F223" i="6" s="1"/>
  <c r="F116" i="6"/>
  <c r="D100" i="6"/>
  <c r="D95" i="6"/>
  <c r="D102" i="6" s="1"/>
  <c r="J98" i="6"/>
  <c r="J101" i="6" s="1"/>
  <c r="E95" i="6"/>
  <c r="E111" i="6" s="1"/>
  <c r="E101" i="6"/>
  <c r="G100" i="6"/>
  <c r="G106" i="6"/>
  <c r="G113" i="6" s="1"/>
  <c r="G146" i="6" s="1"/>
  <c r="I101" i="6"/>
  <c r="I108" i="6"/>
  <c r="H127" i="6"/>
  <c r="F133" i="6"/>
  <c r="F166" i="6"/>
  <c r="H100" i="6"/>
  <c r="H106" i="6"/>
  <c r="D44" i="6"/>
  <c r="I127" i="6"/>
  <c r="F95" i="6"/>
  <c r="G99" i="6"/>
  <c r="G101" i="6"/>
  <c r="I106" i="6"/>
  <c r="J215" i="6"/>
  <c r="D54" i="6"/>
  <c r="J132" i="5"/>
  <c r="J131" i="5" s="1"/>
  <c r="J137" i="5" s="1"/>
  <c r="J146" i="5"/>
  <c r="D116" i="6"/>
  <c r="G150" i="6"/>
  <c r="G219" i="6"/>
  <c r="G223" i="6" s="1"/>
  <c r="H151" i="6"/>
  <c r="H229" i="6"/>
  <c r="K132" i="5"/>
  <c r="K138" i="5" s="1"/>
  <c r="K146" i="5"/>
  <c r="K147" i="5" s="1"/>
  <c r="F101" i="6"/>
  <c r="D75" i="8"/>
  <c r="F75" i="8" s="1"/>
  <c r="D188" i="6"/>
  <c r="J110" i="6"/>
  <c r="H219" i="6"/>
  <c r="H223" i="6" s="1"/>
  <c r="H150" i="6"/>
  <c r="H116" i="6"/>
  <c r="I229" i="6"/>
  <c r="I151" i="6"/>
  <c r="I220" i="6"/>
  <c r="J94" i="6"/>
  <c r="H184" i="6"/>
  <c r="E188" i="6"/>
  <c r="E121" i="6"/>
  <c r="H208" i="6"/>
  <c r="E148" i="6"/>
  <c r="E215" i="6"/>
  <c r="D230" i="6"/>
  <c r="E231" i="6"/>
  <c r="E153" i="6"/>
  <c r="H145" i="6"/>
  <c r="I184" i="6"/>
  <c r="F121" i="6"/>
  <c r="F188" i="6"/>
  <c r="I204" i="6"/>
  <c r="I208" i="6" s="1"/>
  <c r="E230" i="6"/>
  <c r="N129" i="5"/>
  <c r="N132" i="5"/>
  <c r="N138" i="5" s="1"/>
  <c r="N146" i="5"/>
  <c r="N147" i="5" s="1"/>
  <c r="H95" i="6"/>
  <c r="H108" i="6" s="1"/>
  <c r="F106" i="6"/>
  <c r="E109" i="6"/>
  <c r="G121" i="6"/>
  <c r="G188" i="6"/>
  <c r="I111" i="6"/>
  <c r="I217" i="6"/>
  <c r="I221" i="6" s="1"/>
  <c r="I149" i="6"/>
  <c r="D151" i="6"/>
  <c r="F230" i="6"/>
  <c r="F186" i="6"/>
  <c r="F191" i="6" s="1"/>
  <c r="F142" i="6"/>
  <c r="H188" i="6"/>
  <c r="H121" i="6"/>
  <c r="H215" i="6"/>
  <c r="H148" i="6"/>
  <c r="D76" i="8"/>
  <c r="F76" i="8" s="1"/>
  <c r="D219" i="6"/>
  <c r="E229" i="6"/>
  <c r="E151" i="6"/>
  <c r="G230" i="6"/>
  <c r="H153" i="6"/>
  <c r="G220" i="6"/>
  <c r="J118" i="6"/>
  <c r="G148" i="6"/>
  <c r="F152" i="6"/>
  <c r="G152" i="6"/>
  <c r="G229" i="6"/>
  <c r="D65" i="8"/>
  <c r="F65" i="8" s="1"/>
  <c r="D66" i="8"/>
  <c r="F66" i="8" s="1"/>
  <c r="D229" i="6"/>
  <c r="F231" i="6"/>
  <c r="G231" i="6"/>
  <c r="H231" i="6"/>
  <c r="H230" i="6"/>
  <c r="G267" i="6" s="1"/>
  <c r="F145" i="6"/>
  <c r="D21" i="8"/>
  <c r="F21" i="8" s="1"/>
  <c r="D68" i="8"/>
  <c r="F68" i="8" s="1"/>
  <c r="D67" i="8"/>
  <c r="F67" i="8" s="1"/>
  <c r="G130" i="5" l="1"/>
  <c r="G82" i="5"/>
  <c r="J152" i="6"/>
  <c r="P78" i="5"/>
  <c r="E162" i="5"/>
  <c r="I148" i="6"/>
  <c r="E150" i="6"/>
  <c r="H53" i="6"/>
  <c r="Q9" i="5"/>
  <c r="E145" i="5"/>
  <c r="I134" i="5"/>
  <c r="H34" i="5"/>
  <c r="H97" i="5"/>
  <c r="F162" i="5"/>
  <c r="D12" i="4"/>
  <c r="J14" i="4"/>
  <c r="J21" i="4" s="1"/>
  <c r="J23" i="4" s="1"/>
  <c r="N35" i="5"/>
  <c r="N41" i="5" s="1"/>
  <c r="N43" i="5" s="1"/>
  <c r="N44" i="5" s="1"/>
  <c r="H52" i="5"/>
  <c r="H100" i="5" s="1"/>
  <c r="H33" i="5"/>
  <c r="H81" i="5" s="1"/>
  <c r="G108" i="6"/>
  <c r="D34" i="5"/>
  <c r="D82" i="5" s="1"/>
  <c r="D25" i="8"/>
  <c r="F25" i="8" s="1"/>
  <c r="J42" i="5"/>
  <c r="P32" i="5"/>
  <c r="E128" i="5"/>
  <c r="P128" i="5" s="1"/>
  <c r="P144" i="5" s="1"/>
  <c r="E139" i="5"/>
  <c r="F220" i="6"/>
  <c r="H191" i="6"/>
  <c r="L35" i="5"/>
  <c r="L41" i="5" s="1"/>
  <c r="L43" i="5" s="1"/>
  <c r="L44" i="5" s="1"/>
  <c r="I133" i="6"/>
  <c r="H63" i="6"/>
  <c r="I12" i="4"/>
  <c r="P53" i="5"/>
  <c r="D220" i="6"/>
  <c r="I145" i="6"/>
  <c r="F150" i="6"/>
  <c r="D48" i="5"/>
  <c r="H22" i="4"/>
  <c r="H72" i="6" s="1"/>
  <c r="H138" i="6" s="1"/>
  <c r="G128" i="6"/>
  <c r="L131" i="5"/>
  <c r="L137" i="5" s="1"/>
  <c r="L139" i="5" s="1"/>
  <c r="L151" i="5" s="1"/>
  <c r="L162" i="5" s="1"/>
  <c r="L163" i="5" s="1"/>
  <c r="L164" i="5" s="1"/>
  <c r="L83" i="5"/>
  <c r="L89" i="5" s="1"/>
  <c r="L91" i="5" s="1"/>
  <c r="L103" i="5" s="1"/>
  <c r="L114" i="5" s="1"/>
  <c r="L115" i="5" s="1"/>
  <c r="L116" i="5" s="1"/>
  <c r="D113" i="6"/>
  <c r="D146" i="6" s="1"/>
  <c r="P36" i="5"/>
  <c r="P34" i="5" s="1"/>
  <c r="E44" i="5"/>
  <c r="O35" i="5"/>
  <c r="O41" i="5" s="1"/>
  <c r="O43" i="5" s="1"/>
  <c r="O55" i="5" s="1"/>
  <c r="O66" i="5" s="1"/>
  <c r="O67" i="5" s="1"/>
  <c r="O68" i="5" s="1"/>
  <c r="K35" i="5"/>
  <c r="K41" i="5" s="1"/>
  <c r="K42" i="5"/>
  <c r="P42" i="5" s="1"/>
  <c r="E54" i="5"/>
  <c r="E102" i="5" s="1"/>
  <c r="K14" i="4"/>
  <c r="K21" i="4" s="1"/>
  <c r="K23" i="4" s="1"/>
  <c r="H14" i="4"/>
  <c r="P158" i="5"/>
  <c r="D127" i="8"/>
  <c r="F127" i="8" s="1"/>
  <c r="P156" i="5"/>
  <c r="P155" i="5" s="1"/>
  <c r="E48" i="5"/>
  <c r="E144" i="5" s="1"/>
  <c r="O83" i="5"/>
  <c r="O89" i="5" s="1"/>
  <c r="O91" i="5" s="1"/>
  <c r="O103" i="5" s="1"/>
  <c r="O114" i="5" s="1"/>
  <c r="O115" i="5" s="1"/>
  <c r="O116" i="5" s="1"/>
  <c r="E67" i="5"/>
  <c r="E115" i="5" s="1"/>
  <c r="I22" i="4"/>
  <c r="I72" i="6" s="1"/>
  <c r="I138" i="6" s="1"/>
  <c r="G145" i="6"/>
  <c r="E145" i="6"/>
  <c r="E208" i="6"/>
  <c r="E108" i="6"/>
  <c r="E182" i="6" s="1"/>
  <c r="P146" i="5"/>
  <c r="E52" i="5"/>
  <c r="E80" i="5"/>
  <c r="D108" i="6"/>
  <c r="D141" i="6" s="1"/>
  <c r="P108" i="5"/>
  <c r="P107" i="5" s="1"/>
  <c r="P31" i="4"/>
  <c r="Q146" i="5" s="1"/>
  <c r="H140" i="6"/>
  <c r="E34" i="5"/>
  <c r="E130" i="5" s="1"/>
  <c r="M140" i="5"/>
  <c r="M151" i="5"/>
  <c r="M162" i="5" s="1"/>
  <c r="M163" i="5" s="1"/>
  <c r="M164" i="5" s="1"/>
  <c r="M141" i="5"/>
  <c r="K131" i="5"/>
  <c r="K137" i="5" s="1"/>
  <c r="K139" i="5" s="1"/>
  <c r="K151" i="5" s="1"/>
  <c r="K162" i="5" s="1"/>
  <c r="K163" i="5" s="1"/>
  <c r="K164" i="5" s="1"/>
  <c r="N131" i="5"/>
  <c r="N137" i="5" s="1"/>
  <c r="N139" i="5" s="1"/>
  <c r="N151" i="5" s="1"/>
  <c r="N162" i="5" s="1"/>
  <c r="N163" i="5" s="1"/>
  <c r="N164" i="5" s="1"/>
  <c r="D157" i="8"/>
  <c r="F157" i="8" s="1"/>
  <c r="P98" i="5"/>
  <c r="P84" i="5"/>
  <c r="K103" i="5"/>
  <c r="K114" i="5" s="1"/>
  <c r="K115" i="5" s="1"/>
  <c r="K116" i="5" s="1"/>
  <c r="K92" i="5"/>
  <c r="K93" i="5"/>
  <c r="Q50" i="5"/>
  <c r="E202" i="6"/>
  <c r="E144" i="6"/>
  <c r="G129" i="5"/>
  <c r="G81" i="5"/>
  <c r="E186" i="6"/>
  <c r="E191" i="6" s="1"/>
  <c r="E142" i="6"/>
  <c r="D25" i="6"/>
  <c r="H217" i="6"/>
  <c r="H221" i="6" s="1"/>
  <c r="H149" i="6"/>
  <c r="D78" i="8"/>
  <c r="F78" i="8" s="1"/>
  <c r="H155" i="5"/>
  <c r="H107" i="5"/>
  <c r="H129" i="5"/>
  <c r="I186" i="6"/>
  <c r="I191" i="6" s="1"/>
  <c r="I142" i="6"/>
  <c r="F148" i="5"/>
  <c r="F100" i="5"/>
  <c r="F144" i="5"/>
  <c r="F96" i="5"/>
  <c r="Y5" i="7"/>
  <c r="O131" i="5"/>
  <c r="O137" i="5" s="1"/>
  <c r="O138" i="5"/>
  <c r="O92" i="5"/>
  <c r="P154" i="5"/>
  <c r="D96" i="5"/>
  <c r="D144" i="5"/>
  <c r="L55" i="5"/>
  <c r="L66" i="5" s="1"/>
  <c r="L67" i="5" s="1"/>
  <c r="L68" i="5" s="1"/>
  <c r="L45" i="5"/>
  <c r="H79" i="5"/>
  <c r="H127" i="5"/>
  <c r="I218" i="6"/>
  <c r="I223" i="6" s="1"/>
  <c r="I150" i="6"/>
  <c r="E64" i="6"/>
  <c r="E130" i="6" s="1"/>
  <c r="E21" i="4"/>
  <c r="J43" i="5"/>
  <c r="D155" i="8"/>
  <c r="F155" i="8" s="1"/>
  <c r="J51" i="5"/>
  <c r="M13" i="5"/>
  <c r="D159" i="8"/>
  <c r="F159" i="8" s="1"/>
  <c r="P29" i="5"/>
  <c r="D125" i="5"/>
  <c r="D31" i="5"/>
  <c r="D77" i="5"/>
  <c r="I127" i="5"/>
  <c r="I79" i="5"/>
  <c r="J230" i="6"/>
  <c r="D253" i="6" s="1"/>
  <c r="J147" i="5"/>
  <c r="P147" i="5" s="1"/>
  <c r="P13" i="5"/>
  <c r="F200" i="6"/>
  <c r="F162" i="6"/>
  <c r="F128" i="6"/>
  <c r="F111" i="6"/>
  <c r="F96" i="6"/>
  <c r="F180" i="6"/>
  <c r="F99" i="6"/>
  <c r="F108" i="6"/>
  <c r="E99" i="6"/>
  <c r="D41" i="6"/>
  <c r="D123" i="6"/>
  <c r="I107" i="5"/>
  <c r="I155" i="5"/>
  <c r="E9" i="5"/>
  <c r="P126" i="5"/>
  <c r="F155" i="5"/>
  <c r="F107" i="5"/>
  <c r="F139" i="5"/>
  <c r="F91" i="5"/>
  <c r="F67" i="5"/>
  <c r="F54" i="5"/>
  <c r="F44" i="5"/>
  <c r="Y7" i="7"/>
  <c r="E155" i="5"/>
  <c r="E107" i="5"/>
  <c r="M35" i="5"/>
  <c r="M41" i="5" s="1"/>
  <c r="M43" i="5" s="1"/>
  <c r="G202" i="6"/>
  <c r="G206" i="6" s="1"/>
  <c r="G144" i="6"/>
  <c r="D139" i="5"/>
  <c r="D91" i="5"/>
  <c r="D67" i="5"/>
  <c r="D54" i="5"/>
  <c r="D45" i="5"/>
  <c r="D44" i="5"/>
  <c r="Q111" i="5"/>
  <c r="Q63" i="5"/>
  <c r="Q159" i="5"/>
  <c r="Q158" i="5"/>
  <c r="Q110" i="5"/>
  <c r="Q62" i="5"/>
  <c r="R62" i="5" s="1"/>
  <c r="L22" i="4"/>
  <c r="L14" i="4"/>
  <c r="L21" i="4" s="1"/>
  <c r="F125" i="5"/>
  <c r="F31" i="5"/>
  <c r="F45" i="5" s="1"/>
  <c r="F77" i="5"/>
  <c r="E179" i="6"/>
  <c r="E199" i="6"/>
  <c r="E161" i="6"/>
  <c r="M10" i="5"/>
  <c r="F65" i="6"/>
  <c r="F131" i="6" s="1"/>
  <c r="F22" i="4"/>
  <c r="F72" i="6" s="1"/>
  <c r="F138" i="6" s="1"/>
  <c r="I128" i="5"/>
  <c r="I52" i="5"/>
  <c r="I48" i="5"/>
  <c r="I80" i="5"/>
  <c r="I33" i="5"/>
  <c r="M14" i="4"/>
  <c r="M21" i="4" s="1"/>
  <c r="M23" i="4" s="1"/>
  <c r="H122" i="6"/>
  <c r="H102" i="6"/>
  <c r="H113" i="6"/>
  <c r="H146" i="6" s="1"/>
  <c r="H103" i="6"/>
  <c r="I134" i="6"/>
  <c r="I168" i="6"/>
  <c r="J106" i="6"/>
  <c r="J217" i="6"/>
  <c r="D55" i="6"/>
  <c r="G222" i="6"/>
  <c r="G224" i="6" s="1"/>
  <c r="F122" i="6"/>
  <c r="F103" i="6"/>
  <c r="F102" i="6"/>
  <c r="F113" i="6"/>
  <c r="F146" i="6" s="1"/>
  <c r="E220" i="6"/>
  <c r="F134" i="6"/>
  <c r="F168" i="6"/>
  <c r="J138" i="5"/>
  <c r="J139" i="5" s="1"/>
  <c r="P10" i="5"/>
  <c r="I54" i="6"/>
  <c r="J54" i="6" s="1"/>
  <c r="H133" i="6"/>
  <c r="H166" i="6"/>
  <c r="G122" i="6"/>
  <c r="G102" i="6"/>
  <c r="G103" i="6"/>
  <c r="D200" i="6"/>
  <c r="D72" i="8"/>
  <c r="F72" i="8" s="1"/>
  <c r="D180" i="6"/>
  <c r="D162" i="6"/>
  <c r="D128" i="6"/>
  <c r="D96" i="6"/>
  <c r="D111" i="6"/>
  <c r="J95" i="6"/>
  <c r="J108" i="6" s="1"/>
  <c r="D99" i="6"/>
  <c r="I45" i="6"/>
  <c r="J45" i="6" s="1"/>
  <c r="F45" i="6"/>
  <c r="G45" i="6" s="1"/>
  <c r="I164" i="6"/>
  <c r="I170" i="6" s="1"/>
  <c r="I132" i="6"/>
  <c r="D148" i="5"/>
  <c r="D100" i="5"/>
  <c r="H47" i="6"/>
  <c r="P111" i="5"/>
  <c r="D34" i="8"/>
  <c r="F34" i="8" s="1"/>
  <c r="D79" i="6"/>
  <c r="P34" i="4"/>
  <c r="D65" i="6"/>
  <c r="D22" i="4"/>
  <c r="P15" i="4"/>
  <c r="D14" i="4"/>
  <c r="I91" i="5"/>
  <c r="I54" i="5"/>
  <c r="I45" i="5"/>
  <c r="I44" i="5"/>
  <c r="I139" i="5"/>
  <c r="I67" i="5"/>
  <c r="P110" i="5"/>
  <c r="M12" i="5"/>
  <c r="X2" i="7"/>
  <c r="D203" i="8" s="1"/>
  <c r="F203" i="8" s="1"/>
  <c r="D63" i="6"/>
  <c r="G139" i="5"/>
  <c r="G91" i="5"/>
  <c r="G67" i="5"/>
  <c r="G44" i="5"/>
  <c r="G54" i="5"/>
  <c r="G45" i="5"/>
  <c r="I130" i="5"/>
  <c r="I82" i="5"/>
  <c r="G65" i="6"/>
  <c r="G131" i="6" s="1"/>
  <c r="G22" i="4"/>
  <c r="G72" i="6" s="1"/>
  <c r="G138" i="6" s="1"/>
  <c r="G14" i="4"/>
  <c r="G148" i="5"/>
  <c r="G100" i="5"/>
  <c r="H141" i="6"/>
  <c r="H182" i="6"/>
  <c r="G133" i="6"/>
  <c r="G166" i="6"/>
  <c r="D166" i="6"/>
  <c r="D133" i="6"/>
  <c r="J204" i="6"/>
  <c r="D40" i="6"/>
  <c r="E141" i="6"/>
  <c r="H148" i="5"/>
  <c r="I169" i="6"/>
  <c r="G44" i="6"/>
  <c r="P159" i="5"/>
  <c r="R159" i="5" s="1"/>
  <c r="I64" i="6"/>
  <c r="I130" i="6" s="1"/>
  <c r="I21" i="4"/>
  <c r="G127" i="5"/>
  <c r="G79" i="5"/>
  <c r="M83" i="5"/>
  <c r="M89" i="5" s="1"/>
  <c r="M91" i="5" s="1"/>
  <c r="G144" i="5"/>
  <c r="G96" i="5"/>
  <c r="D77" i="6"/>
  <c r="P10" i="4"/>
  <c r="F12" i="4"/>
  <c r="G133" i="5"/>
  <c r="G85" i="5"/>
  <c r="X5" i="7"/>
  <c r="G63" i="6"/>
  <c r="G129" i="6" s="1"/>
  <c r="I222" i="6"/>
  <c r="H134" i="5"/>
  <c r="H86" i="5"/>
  <c r="I202" i="6"/>
  <c r="I144" i="6"/>
  <c r="I44" i="6"/>
  <c r="J44" i="6" s="1"/>
  <c r="F44" i="6"/>
  <c r="D36" i="6"/>
  <c r="J100" i="6"/>
  <c r="D182" i="6"/>
  <c r="H85" i="5"/>
  <c r="H133" i="5"/>
  <c r="I162" i="5"/>
  <c r="I114" i="5"/>
  <c r="I205" i="6"/>
  <c r="I206" i="6"/>
  <c r="H162" i="5"/>
  <c r="H114" i="5"/>
  <c r="P157" i="5"/>
  <c r="D134" i="5"/>
  <c r="D86" i="5"/>
  <c r="D130" i="5"/>
  <c r="P52" i="5"/>
  <c r="J214" i="6"/>
  <c r="E54" i="6"/>
  <c r="F54" i="6" s="1"/>
  <c r="G77" i="6"/>
  <c r="N14" i="4"/>
  <c r="N21" i="4" s="1"/>
  <c r="N22" i="4"/>
  <c r="E65" i="6"/>
  <c r="E131" i="6" s="1"/>
  <c r="E22" i="4"/>
  <c r="E72" i="6" s="1"/>
  <c r="E138" i="6" s="1"/>
  <c r="D183" i="6"/>
  <c r="J61" i="6"/>
  <c r="E25" i="6" s="1"/>
  <c r="F74" i="6"/>
  <c r="F32" i="4"/>
  <c r="H200" i="6"/>
  <c r="H180" i="6"/>
  <c r="H162" i="6"/>
  <c r="H111" i="6"/>
  <c r="H96" i="6"/>
  <c r="H128" i="6"/>
  <c r="H99" i="6"/>
  <c r="D149" i="6"/>
  <c r="D217" i="6"/>
  <c r="D221" i="6" s="1"/>
  <c r="I122" i="6"/>
  <c r="I102" i="6"/>
  <c r="I103" i="6"/>
  <c r="E168" i="6"/>
  <c r="E134" i="6"/>
  <c r="E103" i="6"/>
  <c r="E122" i="6"/>
  <c r="E102" i="6"/>
  <c r="D73" i="8"/>
  <c r="F73" i="8" s="1"/>
  <c r="D162" i="5"/>
  <c r="D114" i="5"/>
  <c r="D186" i="6"/>
  <c r="D191" i="6" s="1"/>
  <c r="D142" i="6"/>
  <c r="P59" i="5"/>
  <c r="P50" i="5"/>
  <c r="P109" i="5"/>
  <c r="D133" i="5"/>
  <c r="D85" i="5"/>
  <c r="Q154" i="5"/>
  <c r="Q58" i="5"/>
  <c r="Q106" i="5"/>
  <c r="G162" i="5"/>
  <c r="G114" i="5"/>
  <c r="Q128" i="5"/>
  <c r="Q80" i="5"/>
  <c r="D9" i="5"/>
  <c r="P12" i="4"/>
  <c r="Q32" i="5"/>
  <c r="R32" i="5" s="1"/>
  <c r="D36" i="8"/>
  <c r="F36" i="8" s="1"/>
  <c r="D84" i="6"/>
  <c r="P42" i="4"/>
  <c r="G183" i="6"/>
  <c r="G140" i="6"/>
  <c r="X3" i="7"/>
  <c r="E63" i="6"/>
  <c r="F161" i="6"/>
  <c r="F199" i="6"/>
  <c r="F179" i="6"/>
  <c r="G199" i="6"/>
  <c r="G205" i="6" s="1"/>
  <c r="G179" i="6"/>
  <c r="G189" i="6" s="1"/>
  <c r="G161" i="6"/>
  <c r="G169" i="6" s="1"/>
  <c r="D77" i="8"/>
  <c r="F77" i="8" s="1"/>
  <c r="J188" i="6"/>
  <c r="D39" i="6"/>
  <c r="J109" i="6"/>
  <c r="I113" i="6"/>
  <c r="I146" i="6" s="1"/>
  <c r="G134" i="6"/>
  <c r="G168" i="6"/>
  <c r="E200" i="6"/>
  <c r="E180" i="6"/>
  <c r="E162" i="6"/>
  <c r="E128" i="6"/>
  <c r="E96" i="6"/>
  <c r="E149" i="6"/>
  <c r="E217" i="6"/>
  <c r="E221" i="6" s="1"/>
  <c r="E166" i="6"/>
  <c r="E133" i="6"/>
  <c r="J184" i="6"/>
  <c r="D50" i="6"/>
  <c r="H96" i="5"/>
  <c r="H144" i="5"/>
  <c r="J231" i="6"/>
  <c r="D254" i="6" s="1"/>
  <c r="I28" i="6"/>
  <c r="J28" i="6" s="1"/>
  <c r="P149" i="5"/>
  <c r="J90" i="5"/>
  <c r="N12" i="5" s="1"/>
  <c r="N10" i="5"/>
  <c r="F134" i="5"/>
  <c r="F86" i="5"/>
  <c r="F130" i="5"/>
  <c r="F82" i="5"/>
  <c r="I189" i="6"/>
  <c r="E134" i="5"/>
  <c r="E86" i="5"/>
  <c r="G182" i="6"/>
  <c r="G190" i="6" s="1"/>
  <c r="G141" i="6"/>
  <c r="D155" i="5"/>
  <c r="D107" i="5"/>
  <c r="D199" i="6"/>
  <c r="D179" i="6"/>
  <c r="D161" i="6"/>
  <c r="J62" i="6"/>
  <c r="E140" i="5"/>
  <c r="E92" i="5"/>
  <c r="N83" i="5"/>
  <c r="N89" i="5" s="1"/>
  <c r="N91" i="5" s="1"/>
  <c r="O44" i="5"/>
  <c r="O45" i="5"/>
  <c r="E125" i="5"/>
  <c r="E31" i="5"/>
  <c r="E77" i="5"/>
  <c r="Q126" i="5"/>
  <c r="Q78" i="5"/>
  <c r="Q30" i="5"/>
  <c r="R30" i="5" s="1"/>
  <c r="H220" i="6"/>
  <c r="J220" i="6" s="1"/>
  <c r="D250" i="6" s="1"/>
  <c r="J229" i="6"/>
  <c r="D252" i="6" s="1"/>
  <c r="J151" i="6"/>
  <c r="D43" i="6"/>
  <c r="K141" i="5"/>
  <c r="G164" i="6"/>
  <c r="G170" i="6" s="1"/>
  <c r="G132" i="6"/>
  <c r="J168" i="6"/>
  <c r="D32" i="6"/>
  <c r="I141" i="6"/>
  <c r="I182" i="6"/>
  <c r="I190" i="6" s="1"/>
  <c r="D29" i="6"/>
  <c r="J99" i="6"/>
  <c r="F217" i="6"/>
  <c r="F221" i="6" s="1"/>
  <c r="F222" i="6" s="1"/>
  <c r="F224" i="6" s="1"/>
  <c r="F149" i="6"/>
  <c r="J121" i="6"/>
  <c r="D74" i="8"/>
  <c r="F74" i="8" s="1"/>
  <c r="H91" i="5"/>
  <c r="H54" i="5"/>
  <c r="H45" i="5"/>
  <c r="H44" i="5"/>
  <c r="H139" i="5"/>
  <c r="H67" i="5"/>
  <c r="H130" i="5"/>
  <c r="H82" i="5"/>
  <c r="J99" i="5"/>
  <c r="N13" i="5"/>
  <c r="F133" i="5"/>
  <c r="F85" i="5"/>
  <c r="P101" i="5"/>
  <c r="E133" i="5"/>
  <c r="E85" i="5"/>
  <c r="P106" i="5"/>
  <c r="P132" i="5"/>
  <c r="Q157" i="5"/>
  <c r="Q61" i="5"/>
  <c r="Q109" i="5"/>
  <c r="H77" i="6"/>
  <c r="E74" i="6"/>
  <c r="E32" i="4"/>
  <c r="G97" i="5"/>
  <c r="G145" i="5"/>
  <c r="F64" i="6"/>
  <c r="F130" i="6" s="1"/>
  <c r="F21" i="4"/>
  <c r="I74" i="6"/>
  <c r="I32" i="4"/>
  <c r="O22" i="4"/>
  <c r="O14" i="4"/>
  <c r="O21" i="4" s="1"/>
  <c r="O23" i="4" s="1"/>
  <c r="Q77" i="5"/>
  <c r="Q125" i="5"/>
  <c r="Q29" i="5"/>
  <c r="O13" i="5" l="1"/>
  <c r="E96" i="5"/>
  <c r="N55" i="5"/>
  <c r="N66" i="5" s="1"/>
  <c r="N67" i="5" s="1"/>
  <c r="N68" i="5" s="1"/>
  <c r="G264" i="6"/>
  <c r="O10" i="5"/>
  <c r="P38" i="5"/>
  <c r="J25" i="4"/>
  <c r="J24" i="4"/>
  <c r="J36" i="4"/>
  <c r="J49" i="4" s="1"/>
  <c r="J50" i="4" s="1"/>
  <c r="J51" i="4" s="1"/>
  <c r="E82" i="5"/>
  <c r="E163" i="5"/>
  <c r="N45" i="5"/>
  <c r="L140" i="5"/>
  <c r="R126" i="5"/>
  <c r="S126" i="5" s="1"/>
  <c r="G171" i="6"/>
  <c r="I63" i="6"/>
  <c r="I129" i="6" s="1"/>
  <c r="X7" i="7"/>
  <c r="I171" i="6"/>
  <c r="K43" i="5"/>
  <c r="K45" i="5" s="1"/>
  <c r="O12" i="5"/>
  <c r="N23" i="4"/>
  <c r="N25" i="4" s="1"/>
  <c r="L141" i="5"/>
  <c r="E68" i="5"/>
  <c r="D26" i="8"/>
  <c r="F26" i="8" s="1"/>
  <c r="R146" i="5"/>
  <c r="S146" i="5" s="1"/>
  <c r="L93" i="5"/>
  <c r="L92" i="5"/>
  <c r="O93" i="5"/>
  <c r="P41" i="5"/>
  <c r="P37" i="5" s="1"/>
  <c r="P35" i="5"/>
  <c r="I224" i="6"/>
  <c r="R110" i="5"/>
  <c r="L23" i="4"/>
  <c r="L25" i="4" s="1"/>
  <c r="Q13" i="5"/>
  <c r="P138" i="5"/>
  <c r="P134" i="5" s="1"/>
  <c r="E148" i="5"/>
  <c r="E100" i="5"/>
  <c r="J122" i="6"/>
  <c r="J123" i="6" s="1"/>
  <c r="P29" i="4"/>
  <c r="K55" i="5"/>
  <c r="K66" i="5" s="1"/>
  <c r="K67" i="5" s="1"/>
  <c r="K68" i="5" s="1"/>
  <c r="K44" i="5"/>
  <c r="G207" i="6"/>
  <c r="G209" i="6" s="1"/>
  <c r="R157" i="5"/>
  <c r="S157" i="5" s="1"/>
  <c r="Q98" i="5"/>
  <c r="R98" i="5" s="1"/>
  <c r="S98" i="5" s="1"/>
  <c r="J191" i="6"/>
  <c r="D246" i="6" s="1"/>
  <c r="L42" i="7" s="1"/>
  <c r="J74" i="6"/>
  <c r="J183" i="6" s="1"/>
  <c r="M11" i="5"/>
  <c r="E150" i="5"/>
  <c r="H64" i="6"/>
  <c r="H130" i="6" s="1"/>
  <c r="H21" i="4"/>
  <c r="R111" i="5"/>
  <c r="S111" i="5" s="1"/>
  <c r="K25" i="4"/>
  <c r="K24" i="4"/>
  <c r="K36" i="4"/>
  <c r="K49" i="4" s="1"/>
  <c r="K50" i="4" s="1"/>
  <c r="K51" i="4" s="1"/>
  <c r="P137" i="5"/>
  <c r="P131" i="5"/>
  <c r="N140" i="5"/>
  <c r="P11" i="5"/>
  <c r="K140" i="5"/>
  <c r="N141" i="5"/>
  <c r="E250" i="6"/>
  <c r="J182" i="6"/>
  <c r="D51" i="6"/>
  <c r="P145" i="5"/>
  <c r="J75" i="6"/>
  <c r="E50" i="6"/>
  <c r="F50" i="6" s="1"/>
  <c r="J140" i="6"/>
  <c r="E77" i="6"/>
  <c r="H163" i="5"/>
  <c r="H115" i="5"/>
  <c r="H68" i="5"/>
  <c r="E254" i="6"/>
  <c r="N47" i="7" s="1"/>
  <c r="U10" i="7"/>
  <c r="L47" i="7"/>
  <c r="F183" i="6"/>
  <c r="F140" i="6"/>
  <c r="I77" i="6"/>
  <c r="P130" i="5"/>
  <c r="D46" i="6"/>
  <c r="I32" i="6"/>
  <c r="J32" i="6" s="1"/>
  <c r="E206" i="6"/>
  <c r="E205" i="6"/>
  <c r="Y6" i="7"/>
  <c r="H129" i="6"/>
  <c r="D187" i="6"/>
  <c r="D193" i="6" s="1"/>
  <c r="D143" i="6"/>
  <c r="I40" i="6"/>
  <c r="J40" i="6" s="1"/>
  <c r="J65" i="6"/>
  <c r="D131" i="6"/>
  <c r="Y2" i="7"/>
  <c r="D204" i="8" s="1"/>
  <c r="F204" i="8" s="1"/>
  <c r="D129" i="6"/>
  <c r="Q10" i="5"/>
  <c r="J102" i="6"/>
  <c r="J103" i="6"/>
  <c r="D38" i="6"/>
  <c r="J113" i="6"/>
  <c r="J127" i="6"/>
  <c r="I183" i="6"/>
  <c r="I140" i="6"/>
  <c r="R106" i="5"/>
  <c r="S106" i="5" s="1"/>
  <c r="H92" i="5"/>
  <c r="H140" i="5"/>
  <c r="E11" i="5"/>
  <c r="H202" i="6"/>
  <c r="H206" i="6" s="1"/>
  <c r="H144" i="6"/>
  <c r="G54" i="6"/>
  <c r="D33" i="8"/>
  <c r="F33" i="8" s="1"/>
  <c r="I172" i="6"/>
  <c r="J111" i="6"/>
  <c r="J151" i="5"/>
  <c r="J162" i="5" s="1"/>
  <c r="J163" i="5" s="1"/>
  <c r="J164" i="5" s="1"/>
  <c r="J141" i="5"/>
  <c r="J140" i="5"/>
  <c r="I140" i="5"/>
  <c r="I92" i="5"/>
  <c r="Q149" i="5"/>
  <c r="R149" i="5" s="1"/>
  <c r="Q53" i="5"/>
  <c r="Q101" i="5"/>
  <c r="P33" i="4"/>
  <c r="G123" i="6"/>
  <c r="P12" i="5"/>
  <c r="Q12" i="5" s="1"/>
  <c r="R63" i="5"/>
  <c r="S63" i="5" s="1"/>
  <c r="F169" i="6"/>
  <c r="P48" i="5"/>
  <c r="R50" i="5"/>
  <c r="S50" i="5" s="1"/>
  <c r="J221" i="6"/>
  <c r="D251" i="6" s="1"/>
  <c r="E251" i="6" s="1"/>
  <c r="H169" i="6"/>
  <c r="D222" i="6"/>
  <c r="I141" i="5"/>
  <c r="I93" i="5"/>
  <c r="D203" i="6"/>
  <c r="D208" i="6" s="1"/>
  <c r="J79" i="6"/>
  <c r="D145" i="6"/>
  <c r="D169" i="6"/>
  <c r="M36" i="4"/>
  <c r="M49" i="4" s="1"/>
  <c r="M25" i="4"/>
  <c r="M50" i="4"/>
  <c r="M51" i="4" s="1"/>
  <c r="M24" i="4"/>
  <c r="D150" i="8"/>
  <c r="F150" i="8" s="1"/>
  <c r="F140" i="5"/>
  <c r="F92" i="5"/>
  <c r="E132" i="6"/>
  <c r="E164" i="6"/>
  <c r="F205" i="6"/>
  <c r="D156" i="8"/>
  <c r="F156" i="8" s="1"/>
  <c r="P51" i="5"/>
  <c r="H187" i="6"/>
  <c r="H193" i="6" s="1"/>
  <c r="H143" i="6"/>
  <c r="J164" i="6"/>
  <c r="D30" i="6"/>
  <c r="I50" i="6"/>
  <c r="J50" i="6" s="1"/>
  <c r="R109" i="5"/>
  <c r="S109" i="5" s="1"/>
  <c r="H189" i="6"/>
  <c r="H190" i="6"/>
  <c r="G265" i="6" s="1"/>
  <c r="D189" i="6"/>
  <c r="D190" i="6"/>
  <c r="I129" i="5"/>
  <c r="I81" i="5"/>
  <c r="F141" i="5"/>
  <c r="F93" i="5"/>
  <c r="F141" i="6"/>
  <c r="F182" i="6"/>
  <c r="P77" i="5"/>
  <c r="R77" i="5" s="1"/>
  <c r="S77" i="5" s="1"/>
  <c r="Q144" i="5"/>
  <c r="Q96" i="5"/>
  <c r="Q48" i="5"/>
  <c r="R78" i="5"/>
  <c r="S78" i="5" s="1"/>
  <c r="E252" i="6"/>
  <c r="L46" i="7"/>
  <c r="N46" i="7" s="1"/>
  <c r="E129" i="6"/>
  <c r="Y3" i="7"/>
  <c r="D168" i="8"/>
  <c r="F168" i="8" s="1"/>
  <c r="P80" i="5"/>
  <c r="P100" i="5" s="1"/>
  <c r="D93" i="5"/>
  <c r="D141" i="5"/>
  <c r="F150" i="5"/>
  <c r="F102" i="5"/>
  <c r="F132" i="6"/>
  <c r="F164" i="6"/>
  <c r="F171" i="6" s="1"/>
  <c r="D127" i="5"/>
  <c r="P31" i="5"/>
  <c r="D79" i="5"/>
  <c r="D33" i="5"/>
  <c r="D143" i="8"/>
  <c r="F143" i="8" s="1"/>
  <c r="O139" i="5"/>
  <c r="F71" i="6"/>
  <c r="F137" i="6" s="1"/>
  <c r="F23" i="4"/>
  <c r="H141" i="5"/>
  <c r="H93" i="5"/>
  <c r="H102" i="5"/>
  <c r="H150" i="5"/>
  <c r="N103" i="5"/>
  <c r="N114" i="5" s="1"/>
  <c r="N115" i="5" s="1"/>
  <c r="N116" i="5" s="1"/>
  <c r="N93" i="5"/>
  <c r="N92" i="5"/>
  <c r="Q60" i="5"/>
  <c r="Q108" i="5"/>
  <c r="P41" i="4"/>
  <c r="Q156" i="5"/>
  <c r="I150" i="5"/>
  <c r="I102" i="5"/>
  <c r="F123" i="6"/>
  <c r="D140" i="5"/>
  <c r="D92" i="5"/>
  <c r="G192" i="6"/>
  <c r="I29" i="6"/>
  <c r="J29" i="6" s="1"/>
  <c r="E127" i="5"/>
  <c r="E79" i="5"/>
  <c r="E45" i="5"/>
  <c r="E33" i="5"/>
  <c r="P148" i="5"/>
  <c r="J186" i="6"/>
  <c r="D52" i="6"/>
  <c r="D218" i="6"/>
  <c r="D223" i="6" s="1"/>
  <c r="J84" i="6"/>
  <c r="D150" i="6"/>
  <c r="H205" i="6"/>
  <c r="J166" i="6"/>
  <c r="D31" i="6"/>
  <c r="X4" i="7"/>
  <c r="F63" i="6"/>
  <c r="F129" i="6" s="1"/>
  <c r="M103" i="5"/>
  <c r="M114" i="5" s="1"/>
  <c r="M115" i="5" s="1"/>
  <c r="M116" i="5" s="1"/>
  <c r="M93" i="5"/>
  <c r="M92" i="5"/>
  <c r="P90" i="5"/>
  <c r="G141" i="5"/>
  <c r="G93" i="5"/>
  <c r="L36" i="4"/>
  <c r="L49" i="4" s="1"/>
  <c r="E164" i="5"/>
  <c r="E116" i="5"/>
  <c r="F9" i="5"/>
  <c r="I192" i="6"/>
  <c r="I39" i="6"/>
  <c r="J39" i="6" s="1"/>
  <c r="R61" i="5"/>
  <c r="S61" i="5" s="1"/>
  <c r="I36" i="6"/>
  <c r="J36" i="6" s="1"/>
  <c r="Q79" i="5"/>
  <c r="Q127" i="5"/>
  <c r="Q31" i="5"/>
  <c r="P99" i="5"/>
  <c r="G102" i="5"/>
  <c r="G150" i="5"/>
  <c r="D28" i="8"/>
  <c r="F28" i="8" s="1"/>
  <c r="D64" i="6"/>
  <c r="D21" i="4"/>
  <c r="P14" i="4"/>
  <c r="D29" i="8"/>
  <c r="F29" i="8" s="1"/>
  <c r="H48" i="6"/>
  <c r="D132" i="6"/>
  <c r="D164" i="6"/>
  <c r="D170" i="6" s="1"/>
  <c r="D205" i="6"/>
  <c r="E222" i="6"/>
  <c r="E224" i="6" s="1"/>
  <c r="I55" i="6"/>
  <c r="J55" i="6" s="1"/>
  <c r="I144" i="5"/>
  <c r="I96" i="5"/>
  <c r="D150" i="5"/>
  <c r="D102" i="5"/>
  <c r="M55" i="5"/>
  <c r="M66" i="5" s="1"/>
  <c r="M67" i="5" s="1"/>
  <c r="M68" i="5" s="1"/>
  <c r="M45" i="5"/>
  <c r="M44" i="5"/>
  <c r="F163" i="5"/>
  <c r="F115" i="5"/>
  <c r="F68" i="5"/>
  <c r="F189" i="6"/>
  <c r="F190" i="6"/>
  <c r="U9" i="7"/>
  <c r="E253" i="6"/>
  <c r="P125" i="5"/>
  <c r="R125" i="5" s="1"/>
  <c r="S125" i="5" s="1"/>
  <c r="J55" i="5"/>
  <c r="J66" i="5" s="1"/>
  <c r="J44" i="5"/>
  <c r="J45" i="5"/>
  <c r="R158" i="5"/>
  <c r="S158" i="5" s="1"/>
  <c r="E170" i="6"/>
  <c r="E169" i="6"/>
  <c r="E171" i="6"/>
  <c r="S32" i="5"/>
  <c r="N11" i="5"/>
  <c r="E123" i="6"/>
  <c r="I123" i="6"/>
  <c r="H164" i="6"/>
  <c r="H171" i="6" s="1"/>
  <c r="H132" i="6"/>
  <c r="F77" i="6"/>
  <c r="P32" i="4"/>
  <c r="G92" i="5"/>
  <c r="G140" i="5"/>
  <c r="Q132" i="5"/>
  <c r="P13" i="4"/>
  <c r="Q36" i="5"/>
  <c r="Q84" i="5"/>
  <c r="P83" i="5"/>
  <c r="D128" i="8"/>
  <c r="F128" i="8" s="1"/>
  <c r="J200" i="6"/>
  <c r="J180" i="6"/>
  <c r="J162" i="6"/>
  <c r="J128" i="6"/>
  <c r="J96" i="6"/>
  <c r="D26" i="6"/>
  <c r="H123" i="6"/>
  <c r="I148" i="5"/>
  <c r="I100" i="5"/>
  <c r="S62" i="5"/>
  <c r="D163" i="5"/>
  <c r="D115" i="5"/>
  <c r="D68" i="5"/>
  <c r="D79" i="8"/>
  <c r="F79" i="8" s="1"/>
  <c r="Y4" i="7"/>
  <c r="R29" i="5"/>
  <c r="S29" i="5" s="1"/>
  <c r="R154" i="5"/>
  <c r="S154" i="5" s="1"/>
  <c r="P89" i="5"/>
  <c r="I43" i="6"/>
  <c r="J43" i="6" s="1"/>
  <c r="F43" i="6"/>
  <c r="G43" i="6" s="1"/>
  <c r="O24" i="4"/>
  <c r="O25" i="4"/>
  <c r="O36" i="4"/>
  <c r="O49" i="4" s="1"/>
  <c r="O50" i="4" s="1"/>
  <c r="O51" i="4" s="1"/>
  <c r="R128" i="5"/>
  <c r="S128" i="5" s="1"/>
  <c r="I9" i="5"/>
  <c r="J9" i="5" s="1"/>
  <c r="H222" i="6"/>
  <c r="H224" i="6" s="1"/>
  <c r="E183" i="6"/>
  <c r="E140" i="6"/>
  <c r="S30" i="5"/>
  <c r="J179" i="6"/>
  <c r="J199" i="6"/>
  <c r="J161" i="6"/>
  <c r="E26" i="6"/>
  <c r="J63" i="6"/>
  <c r="E27" i="6" s="1"/>
  <c r="D9" i="7" s="1"/>
  <c r="E189" i="6"/>
  <c r="E190" i="6"/>
  <c r="D42" i="8"/>
  <c r="F42" i="8" s="1"/>
  <c r="Q129" i="5"/>
  <c r="Q81" i="5"/>
  <c r="D10" i="5"/>
  <c r="Q33" i="5"/>
  <c r="J91" i="5"/>
  <c r="P91" i="5" s="1"/>
  <c r="G187" i="6"/>
  <c r="G193" i="6" s="1"/>
  <c r="G143" i="6"/>
  <c r="I207" i="6"/>
  <c r="I209" i="6" s="1"/>
  <c r="I71" i="6"/>
  <c r="I137" i="6" s="1"/>
  <c r="I23" i="4"/>
  <c r="G172" i="6"/>
  <c r="G64" i="6"/>
  <c r="G130" i="6" s="1"/>
  <c r="G21" i="4"/>
  <c r="G115" i="5"/>
  <c r="G68" i="5"/>
  <c r="G163" i="5"/>
  <c r="I163" i="5"/>
  <c r="I115" i="5"/>
  <c r="I68" i="5"/>
  <c r="D72" i="6"/>
  <c r="P22" i="4"/>
  <c r="D202" i="6"/>
  <c r="D206" i="6" s="1"/>
  <c r="D144" i="6"/>
  <c r="F127" i="5"/>
  <c r="F79" i="5"/>
  <c r="F33" i="5"/>
  <c r="S110" i="5"/>
  <c r="S159" i="5"/>
  <c r="R58" i="5"/>
  <c r="S58" i="5" s="1"/>
  <c r="I41" i="6"/>
  <c r="J41" i="6" s="1"/>
  <c r="F202" i="6"/>
  <c r="F206" i="6" s="1"/>
  <c r="F144" i="6"/>
  <c r="E71" i="6"/>
  <c r="E137" i="6" s="1"/>
  <c r="E23" i="4"/>
  <c r="F25" i="6"/>
  <c r="G25" i="6" s="1"/>
  <c r="I25" i="6"/>
  <c r="J25" i="6" s="1"/>
  <c r="N24" i="4" l="1"/>
  <c r="D47" i="6"/>
  <c r="E246" i="6"/>
  <c r="N42" i="7" s="1"/>
  <c r="D256" i="6"/>
  <c r="L48" i="7" s="1"/>
  <c r="N36" i="4"/>
  <c r="N49" i="4" s="1"/>
  <c r="N50" i="4" s="1"/>
  <c r="N51" i="4" s="1"/>
  <c r="P43" i="5"/>
  <c r="G194" i="6"/>
  <c r="Q11" i="5"/>
  <c r="P133" i="5"/>
  <c r="L50" i="4"/>
  <c r="L51" i="4" s="1"/>
  <c r="E207" i="6"/>
  <c r="E209" i="6" s="1"/>
  <c r="O11" i="5"/>
  <c r="F170" i="6"/>
  <c r="F172" i="6" s="1"/>
  <c r="H23" i="4"/>
  <c r="H71" i="6"/>
  <c r="H137" i="6" s="1"/>
  <c r="J190" i="6"/>
  <c r="D245" i="6" s="1"/>
  <c r="R48" i="5"/>
  <c r="L24" i="4"/>
  <c r="P92" i="5"/>
  <c r="G12" i="5"/>
  <c r="O151" i="5"/>
  <c r="O162" i="5" s="1"/>
  <c r="P162" i="5" s="1"/>
  <c r="O141" i="5"/>
  <c r="O140" i="5"/>
  <c r="I46" i="6"/>
  <c r="J46" i="6" s="1"/>
  <c r="D164" i="5"/>
  <c r="D116" i="5"/>
  <c r="P55" i="5"/>
  <c r="R156" i="5"/>
  <c r="S156" i="5" s="1"/>
  <c r="J189" i="6"/>
  <c r="D244" i="6" s="1"/>
  <c r="D192" i="6"/>
  <c r="R53" i="5"/>
  <c r="S53" i="5" s="1"/>
  <c r="J202" i="6"/>
  <c r="D53" i="6"/>
  <c r="L45" i="7"/>
  <c r="N45" i="7" s="1"/>
  <c r="J64" i="6"/>
  <c r="D130" i="6"/>
  <c r="P66" i="5"/>
  <c r="C11" i="7"/>
  <c r="I47" i="6"/>
  <c r="J47" i="6" s="1"/>
  <c r="R84" i="5"/>
  <c r="S84" i="5" s="1"/>
  <c r="S149" i="5"/>
  <c r="D48" i="6"/>
  <c r="U8" i="7"/>
  <c r="Q51" i="5"/>
  <c r="Q147" i="5"/>
  <c r="Q99" i="5"/>
  <c r="P30" i="4"/>
  <c r="J203" i="6"/>
  <c r="J208" i="6" s="1"/>
  <c r="E40" i="6"/>
  <c r="J78" i="6"/>
  <c r="J145" i="6"/>
  <c r="G164" i="5"/>
  <c r="G116" i="5"/>
  <c r="J67" i="5"/>
  <c r="E129" i="5"/>
  <c r="E81" i="5"/>
  <c r="D132" i="8"/>
  <c r="F132" i="8" s="1"/>
  <c r="D129" i="5"/>
  <c r="D81" i="5"/>
  <c r="D88" i="8"/>
  <c r="F88" i="8" s="1"/>
  <c r="D80" i="8"/>
  <c r="F80" i="8" s="1"/>
  <c r="J129" i="6"/>
  <c r="D27" i="6"/>
  <c r="E172" i="6"/>
  <c r="P79" i="5"/>
  <c r="R79" i="5" s="1"/>
  <c r="S79" i="5" s="1"/>
  <c r="H192" i="6"/>
  <c r="H194" i="6" s="1"/>
  <c r="E245" i="6"/>
  <c r="N41" i="7" s="1"/>
  <c r="L41" i="7"/>
  <c r="C31" i="7"/>
  <c r="F26" i="6"/>
  <c r="E31" i="7" s="1"/>
  <c r="I26" i="6"/>
  <c r="J26" i="6" s="1"/>
  <c r="I31" i="6"/>
  <c r="J31" i="6" s="1"/>
  <c r="Q59" i="5"/>
  <c r="Q107" i="5"/>
  <c r="Q155" i="5"/>
  <c r="D154" i="8"/>
  <c r="F154" i="8" s="1"/>
  <c r="D130" i="8"/>
  <c r="F130" i="8" s="1"/>
  <c r="R36" i="5"/>
  <c r="S36" i="5" s="1"/>
  <c r="P86" i="5"/>
  <c r="J218" i="6"/>
  <c r="J223" i="6" s="1"/>
  <c r="J83" i="6"/>
  <c r="E42" i="6"/>
  <c r="J150" i="6"/>
  <c r="E93" i="5"/>
  <c r="E141" i="5"/>
  <c r="R108" i="5"/>
  <c r="S108" i="5" s="1"/>
  <c r="F207" i="6"/>
  <c r="F209" i="6" s="1"/>
  <c r="R101" i="5"/>
  <c r="S101" i="5" s="1"/>
  <c r="E187" i="6"/>
  <c r="E193" i="6" s="1"/>
  <c r="E143" i="6"/>
  <c r="F129" i="5"/>
  <c r="F81" i="5"/>
  <c r="D142" i="8" s="1"/>
  <c r="F142" i="8" s="1"/>
  <c r="Q138" i="5"/>
  <c r="Q90" i="5"/>
  <c r="Q42" i="5"/>
  <c r="P17" i="4"/>
  <c r="G71" i="6"/>
  <c r="G137" i="6" s="1"/>
  <c r="G23" i="4"/>
  <c r="E192" i="6"/>
  <c r="Q130" i="5"/>
  <c r="R130" i="5" s="1"/>
  <c r="S130" i="5" s="1"/>
  <c r="Q82" i="5"/>
  <c r="D11" i="5"/>
  <c r="F11" i="5" s="1"/>
  <c r="Q34" i="5"/>
  <c r="R34" i="5" s="1"/>
  <c r="S34" i="5" s="1"/>
  <c r="P97" i="5"/>
  <c r="S60" i="5"/>
  <c r="R60" i="5"/>
  <c r="R31" i="5"/>
  <c r="P33" i="5"/>
  <c r="S48" i="5"/>
  <c r="D171" i="6"/>
  <c r="J171" i="6" s="1"/>
  <c r="D243" i="6" s="1"/>
  <c r="J222" i="6"/>
  <c r="D224" i="6"/>
  <c r="D97" i="8" s="1"/>
  <c r="F97" i="8" s="1"/>
  <c r="J77" i="6"/>
  <c r="I11" i="5"/>
  <c r="J11" i="5" s="1"/>
  <c r="F164" i="5"/>
  <c r="F116" i="5"/>
  <c r="R148" i="5"/>
  <c r="D33" i="6"/>
  <c r="J66" i="6"/>
  <c r="E29" i="6"/>
  <c r="J131" i="6"/>
  <c r="E73" i="6"/>
  <c r="E36" i="4"/>
  <c r="E25" i="4"/>
  <c r="E70" i="6" s="1"/>
  <c r="E136" i="6" s="1"/>
  <c r="E24" i="4"/>
  <c r="E69" i="6" s="1"/>
  <c r="E135" i="6" s="1"/>
  <c r="J72" i="6"/>
  <c r="D138" i="6"/>
  <c r="J103" i="5"/>
  <c r="J93" i="5"/>
  <c r="J92" i="5"/>
  <c r="S31" i="5"/>
  <c r="C35" i="7"/>
  <c r="I52" i="6"/>
  <c r="J52" i="6" s="1"/>
  <c r="P127" i="5"/>
  <c r="R132" i="5"/>
  <c r="S132" i="5" s="1"/>
  <c r="G50" i="6"/>
  <c r="J206" i="6"/>
  <c r="D248" i="6" s="1"/>
  <c r="E248" i="6" s="1"/>
  <c r="P85" i="5"/>
  <c r="I116" i="5"/>
  <c r="I164" i="5"/>
  <c r="D31" i="7"/>
  <c r="F187" i="6"/>
  <c r="F193" i="6" s="1"/>
  <c r="F143" i="6"/>
  <c r="Q131" i="5"/>
  <c r="Q83" i="5"/>
  <c r="Q35" i="5"/>
  <c r="F73" i="6"/>
  <c r="F24" i="4"/>
  <c r="F69" i="6" s="1"/>
  <c r="F135" i="6" s="1"/>
  <c r="F36" i="4"/>
  <c r="F25" i="4"/>
  <c r="F70" i="6" s="1"/>
  <c r="F136" i="6" s="1"/>
  <c r="C10" i="7"/>
  <c r="I38" i="6"/>
  <c r="J38" i="6" s="1"/>
  <c r="P139" i="5"/>
  <c r="D169" i="8" s="1"/>
  <c r="F169" i="8" s="1"/>
  <c r="H207" i="6"/>
  <c r="H209" i="6" s="1"/>
  <c r="D129" i="8"/>
  <c r="F129" i="8" s="1"/>
  <c r="J169" i="6"/>
  <c r="D241" i="6" s="1"/>
  <c r="H170" i="6"/>
  <c r="H172" i="6" s="1"/>
  <c r="J181" i="6"/>
  <c r="E51" i="6"/>
  <c r="F51" i="6" s="1"/>
  <c r="E34" i="7" s="1"/>
  <c r="C34" i="7"/>
  <c r="I51" i="6"/>
  <c r="J51" i="6" s="1"/>
  <c r="I73" i="6"/>
  <c r="I24" i="4"/>
  <c r="I69" i="6" s="1"/>
  <c r="I135" i="6" s="1"/>
  <c r="I36" i="4"/>
  <c r="I25" i="4"/>
  <c r="I70" i="6" s="1"/>
  <c r="I136" i="6" s="1"/>
  <c r="C56" i="7"/>
  <c r="I56" i="7"/>
  <c r="F192" i="6"/>
  <c r="J205" i="6"/>
  <c r="D247" i="6" s="1"/>
  <c r="D207" i="6"/>
  <c r="D71" i="6"/>
  <c r="P21" i="4"/>
  <c r="D23" i="4"/>
  <c r="R80" i="5"/>
  <c r="S80" i="5" s="1"/>
  <c r="G9" i="5"/>
  <c r="H9" i="5" s="1"/>
  <c r="P96" i="5"/>
  <c r="R96" i="5" s="1"/>
  <c r="S96" i="5" s="1"/>
  <c r="P82" i="5"/>
  <c r="C32" i="7"/>
  <c r="I30" i="6"/>
  <c r="P49" i="5"/>
  <c r="G262" i="6"/>
  <c r="Q148" i="5"/>
  <c r="Q100" i="5"/>
  <c r="Q52" i="5"/>
  <c r="D34" i="6"/>
  <c r="I187" i="6"/>
  <c r="I193" i="6" s="1"/>
  <c r="I194" i="6" s="1"/>
  <c r="I143" i="6"/>
  <c r="H116" i="5"/>
  <c r="H164" i="5"/>
  <c r="J141" i="6"/>
  <c r="R144" i="5"/>
  <c r="S144" i="5" s="1"/>
  <c r="P151" i="5" l="1"/>
  <c r="P44" i="5"/>
  <c r="E13" i="5" s="1"/>
  <c r="E12" i="5"/>
  <c r="P45" i="5"/>
  <c r="E14" i="5" s="1"/>
  <c r="D158" i="8"/>
  <c r="F158" i="8" s="1"/>
  <c r="J224" i="6"/>
  <c r="D98" i="8" s="1"/>
  <c r="F98" i="8" s="1"/>
  <c r="D172" i="6"/>
  <c r="J172" i="6" s="1"/>
  <c r="E194" i="6"/>
  <c r="O163" i="5"/>
  <c r="O164" i="5" s="1"/>
  <c r="D144" i="8"/>
  <c r="F144" i="8" s="1"/>
  <c r="H24" i="4"/>
  <c r="H69" i="6" s="1"/>
  <c r="H135" i="6" s="1"/>
  <c r="H36" i="4"/>
  <c r="H25" i="4"/>
  <c r="H70" i="6" s="1"/>
  <c r="H136" i="6" s="1"/>
  <c r="H73" i="6"/>
  <c r="P81" i="5"/>
  <c r="G10" i="5" s="1"/>
  <c r="G73" i="6"/>
  <c r="G24" i="4"/>
  <c r="G69" i="6" s="1"/>
  <c r="G135" i="6" s="1"/>
  <c r="G25" i="4"/>
  <c r="G70" i="6" s="1"/>
  <c r="G136" i="6" s="1"/>
  <c r="G36" i="4"/>
  <c r="R127" i="5"/>
  <c r="S127" i="5" s="1"/>
  <c r="P129" i="5"/>
  <c r="R52" i="5"/>
  <c r="S52" i="5" s="1"/>
  <c r="R35" i="5"/>
  <c r="S35" i="5" s="1"/>
  <c r="L40" i="7"/>
  <c r="E244" i="6"/>
  <c r="N40" i="7" s="1"/>
  <c r="U5" i="7"/>
  <c r="J170" i="6"/>
  <c r="R33" i="5"/>
  <c r="S33" i="5" s="1"/>
  <c r="E10" i="5"/>
  <c r="U2" i="7"/>
  <c r="D206" i="8" s="1"/>
  <c r="F206" i="8" s="1"/>
  <c r="E241" i="6"/>
  <c r="N37" i="7" s="1"/>
  <c r="L37" i="7"/>
  <c r="F29" i="6"/>
  <c r="G29" i="6" s="1"/>
  <c r="R138" i="5"/>
  <c r="S138" i="5" s="1"/>
  <c r="R155" i="5"/>
  <c r="S155" i="5" s="1"/>
  <c r="C9" i="7"/>
  <c r="I27" i="6"/>
  <c r="F27" i="6"/>
  <c r="J201" i="6"/>
  <c r="E53" i="6"/>
  <c r="F53" i="6" s="1"/>
  <c r="E36" i="7" s="1"/>
  <c r="C12" i="7"/>
  <c r="I48" i="6"/>
  <c r="I15" i="5"/>
  <c r="J71" i="6"/>
  <c r="D137" i="6"/>
  <c r="Q145" i="5"/>
  <c r="Q49" i="5"/>
  <c r="R49" i="5" s="1"/>
  <c r="Q97" i="5"/>
  <c r="E15" i="5"/>
  <c r="R81" i="5"/>
  <c r="S81" i="5" s="1"/>
  <c r="I232" i="6"/>
  <c r="I234" i="6" s="1"/>
  <c r="I173" i="6"/>
  <c r="I174" i="6" s="1"/>
  <c r="I139" i="6"/>
  <c r="P103" i="5"/>
  <c r="J114" i="5"/>
  <c r="J216" i="6"/>
  <c r="E55" i="6"/>
  <c r="J149" i="6"/>
  <c r="J192" i="6"/>
  <c r="D194" i="6"/>
  <c r="D30" i="8"/>
  <c r="F30" i="8" s="1"/>
  <c r="S148" i="5"/>
  <c r="D73" i="6"/>
  <c r="D25" i="4"/>
  <c r="D70" i="6" s="1"/>
  <c r="D136" i="6" s="1"/>
  <c r="D36" i="4"/>
  <c r="D24" i="4"/>
  <c r="D69" i="6" s="1"/>
  <c r="D135" i="6" s="1"/>
  <c r="P23" i="4"/>
  <c r="F81" i="6"/>
  <c r="F49" i="4"/>
  <c r="R131" i="5"/>
  <c r="S131" i="5" s="1"/>
  <c r="E37" i="6"/>
  <c r="J68" i="6"/>
  <c r="J138" i="6"/>
  <c r="E30" i="6"/>
  <c r="J163" i="6"/>
  <c r="J132" i="6"/>
  <c r="R90" i="5"/>
  <c r="S90" i="5" s="1"/>
  <c r="R107" i="5"/>
  <c r="S107" i="5" s="1"/>
  <c r="F40" i="6"/>
  <c r="G40" i="6" s="1"/>
  <c r="C36" i="7"/>
  <c r="I53" i="6"/>
  <c r="J53" i="6" s="1"/>
  <c r="I81" i="6"/>
  <c r="I49" i="4"/>
  <c r="P150" i="5"/>
  <c r="F194" i="6"/>
  <c r="E139" i="6"/>
  <c r="E232" i="6"/>
  <c r="E234" i="6" s="1"/>
  <c r="E173" i="6"/>
  <c r="E174" i="6" s="1"/>
  <c r="R42" i="5"/>
  <c r="S42" i="5" s="1"/>
  <c r="E28" i="6"/>
  <c r="J130" i="6"/>
  <c r="R82" i="5"/>
  <c r="S82" i="5" s="1"/>
  <c r="G11" i="5"/>
  <c r="H11" i="5" s="1"/>
  <c r="Q89" i="5"/>
  <c r="Q137" i="5"/>
  <c r="Q41" i="5"/>
  <c r="P16" i="4"/>
  <c r="P140" i="5"/>
  <c r="I12" i="5"/>
  <c r="P141" i="5"/>
  <c r="C33" i="7"/>
  <c r="D195" i="8" s="1"/>
  <c r="F195" i="8" s="1"/>
  <c r="I33" i="6"/>
  <c r="J33" i="6" s="1"/>
  <c r="J187" i="6"/>
  <c r="J193" i="6" s="1"/>
  <c r="J76" i="6"/>
  <c r="E39" i="6"/>
  <c r="J143" i="6"/>
  <c r="R59" i="5"/>
  <c r="S59" i="5" s="1"/>
  <c r="J68" i="5"/>
  <c r="P67" i="5"/>
  <c r="R100" i="5"/>
  <c r="S100" i="5" s="1"/>
  <c r="J144" i="6"/>
  <c r="P54" i="5"/>
  <c r="J58" i="7"/>
  <c r="H12" i="5"/>
  <c r="G13" i="5"/>
  <c r="H13" i="5" s="1"/>
  <c r="I34" i="6"/>
  <c r="J34" i="6" s="1"/>
  <c r="J207" i="6"/>
  <c r="J209" i="6" s="1"/>
  <c r="D96" i="8" s="1"/>
  <c r="F96" i="8" s="1"/>
  <c r="D209" i="6"/>
  <c r="D95" i="8" s="1"/>
  <c r="F95" i="8" s="1"/>
  <c r="F232" i="6"/>
  <c r="F234" i="6" s="1"/>
  <c r="F173" i="6"/>
  <c r="F174" i="6" s="1"/>
  <c r="F139" i="6"/>
  <c r="G26" i="6"/>
  <c r="R97" i="5"/>
  <c r="P93" i="5"/>
  <c r="R51" i="5"/>
  <c r="S51" i="5" s="1"/>
  <c r="E247" i="6"/>
  <c r="U6" i="7"/>
  <c r="L43" i="7"/>
  <c r="N43" i="7" s="1"/>
  <c r="D34" i="7"/>
  <c r="G51" i="6"/>
  <c r="E81" i="6"/>
  <c r="E49" i="4"/>
  <c r="L39" i="7"/>
  <c r="U4" i="7"/>
  <c r="E243" i="6"/>
  <c r="N39" i="7" s="1"/>
  <c r="R99" i="5"/>
  <c r="S99" i="5" s="1"/>
  <c r="Q134" i="5"/>
  <c r="Q86" i="5"/>
  <c r="Q38" i="5"/>
  <c r="F42" i="6"/>
  <c r="G42" i="6" s="1"/>
  <c r="R147" i="5"/>
  <c r="S147" i="5" s="1"/>
  <c r="R83" i="5"/>
  <c r="S83" i="5" s="1"/>
  <c r="J57" i="7" l="1"/>
  <c r="D57" i="7"/>
  <c r="J15" i="5"/>
  <c r="P163" i="5"/>
  <c r="P164" i="5" s="1"/>
  <c r="H81" i="6"/>
  <c r="H49" i="4"/>
  <c r="H139" i="6"/>
  <c r="H232" i="6"/>
  <c r="H234" i="6" s="1"/>
  <c r="H173" i="6"/>
  <c r="H174" i="6" s="1"/>
  <c r="E88" i="6"/>
  <c r="E154" i="6" s="1"/>
  <c r="E50" i="4"/>
  <c r="E233" i="6"/>
  <c r="E235" i="6" s="1"/>
  <c r="E147" i="6"/>
  <c r="R89" i="5"/>
  <c r="S89" i="5" s="1"/>
  <c r="F37" i="6"/>
  <c r="G37" i="6" s="1"/>
  <c r="Q43" i="5"/>
  <c r="Q139" i="5"/>
  <c r="Q91" i="5"/>
  <c r="D12" i="5"/>
  <c r="P24" i="4"/>
  <c r="P25" i="4"/>
  <c r="I14" i="5"/>
  <c r="J14" i="5" s="1"/>
  <c r="I88" i="6"/>
  <c r="I154" i="6" s="1"/>
  <c r="I50" i="4"/>
  <c r="D93" i="8"/>
  <c r="F93" i="8" s="1"/>
  <c r="S97" i="5"/>
  <c r="J59" i="7"/>
  <c r="J12" i="5"/>
  <c r="I147" i="6"/>
  <c r="I233" i="6"/>
  <c r="I235" i="6" s="1"/>
  <c r="J194" i="6"/>
  <c r="D94" i="8" s="1"/>
  <c r="F94" i="8" s="1"/>
  <c r="S49" i="5"/>
  <c r="G263" i="6"/>
  <c r="D242" i="6"/>
  <c r="P68" i="5"/>
  <c r="E16" i="5"/>
  <c r="R38" i="5"/>
  <c r="S38" i="5" s="1"/>
  <c r="R137" i="5"/>
  <c r="S137" i="5" s="1"/>
  <c r="R134" i="5"/>
  <c r="S134" i="5" s="1"/>
  <c r="F39" i="6"/>
  <c r="G39" i="6" s="1"/>
  <c r="I13" i="5"/>
  <c r="J13" i="5" s="1"/>
  <c r="F88" i="6"/>
  <c r="F154" i="6" s="1"/>
  <c r="F50" i="4"/>
  <c r="D35" i="8"/>
  <c r="F35" i="8" s="1"/>
  <c r="D81" i="6"/>
  <c r="P36" i="4"/>
  <c r="D49" i="4"/>
  <c r="I58" i="7"/>
  <c r="H10" i="5"/>
  <c r="R145" i="5"/>
  <c r="S145" i="5" s="1"/>
  <c r="R86" i="5"/>
  <c r="S86" i="5" s="1"/>
  <c r="G81" i="6"/>
  <c r="G49" i="4"/>
  <c r="J185" i="6"/>
  <c r="E52" i="6"/>
  <c r="J142" i="6"/>
  <c r="F147" i="6"/>
  <c r="F233" i="6"/>
  <c r="F235" i="6" s="1"/>
  <c r="F55" i="6"/>
  <c r="G55" i="6" s="1"/>
  <c r="D36" i="7"/>
  <c r="G53" i="6"/>
  <c r="Q133" i="5"/>
  <c r="Q85" i="5"/>
  <c r="Q37" i="5"/>
  <c r="F28" i="6"/>
  <c r="G28" i="6" s="1"/>
  <c r="D32" i="7"/>
  <c r="F30" i="6"/>
  <c r="E32" i="7" s="1"/>
  <c r="J73" i="6"/>
  <c r="D232" i="6"/>
  <c r="D139" i="6"/>
  <c r="D173" i="6"/>
  <c r="D174" i="6" s="1"/>
  <c r="P114" i="5"/>
  <c r="D160" i="8"/>
  <c r="F160" i="8" s="1"/>
  <c r="J115" i="5"/>
  <c r="E36" i="6"/>
  <c r="J67" i="6"/>
  <c r="J137" i="6"/>
  <c r="E9" i="7"/>
  <c r="D191" i="8" s="1"/>
  <c r="F191" i="8" s="1"/>
  <c r="I57" i="7"/>
  <c r="D56" i="7"/>
  <c r="F10" i="5"/>
  <c r="E56" i="7" s="1"/>
  <c r="G14" i="5"/>
  <c r="H14" i="5" s="1"/>
  <c r="R41" i="5"/>
  <c r="S41" i="5" s="1"/>
  <c r="I17" i="5"/>
  <c r="J167" i="6"/>
  <c r="E32" i="6"/>
  <c r="J134" i="6"/>
  <c r="P102" i="5"/>
  <c r="R129" i="5"/>
  <c r="S129" i="5" s="1"/>
  <c r="I10" i="5"/>
  <c r="G173" i="6"/>
  <c r="G174" i="6" s="1"/>
  <c r="G139" i="6"/>
  <c r="G232" i="6"/>
  <c r="G234" i="6" s="1"/>
  <c r="I16" i="5" l="1"/>
  <c r="L59" i="7" s="1"/>
  <c r="H50" i="4"/>
  <c r="H88" i="6"/>
  <c r="H154" i="6" s="1"/>
  <c r="H233" i="6"/>
  <c r="H235" i="6" s="1"/>
  <c r="H147" i="6"/>
  <c r="E242" i="6"/>
  <c r="N38" i="7" s="1"/>
  <c r="U3" i="7"/>
  <c r="L38" i="7"/>
  <c r="R91" i="5"/>
  <c r="S91" i="5" s="1"/>
  <c r="I59" i="7"/>
  <c r="J10" i="5"/>
  <c r="G233" i="6"/>
  <c r="G235" i="6" s="1"/>
  <c r="G147" i="6"/>
  <c r="D37" i="8"/>
  <c r="F37" i="8" s="1"/>
  <c r="D88" i="6"/>
  <c r="P49" i="4"/>
  <c r="D50" i="4"/>
  <c r="R139" i="5"/>
  <c r="S139" i="5" s="1"/>
  <c r="Q151" i="5"/>
  <c r="Q55" i="5"/>
  <c r="Q103" i="5"/>
  <c r="P35" i="4"/>
  <c r="R43" i="5"/>
  <c r="S43" i="5" s="1"/>
  <c r="D91" i="8"/>
  <c r="F91" i="8" s="1"/>
  <c r="J81" i="6"/>
  <c r="D233" i="6"/>
  <c r="D147" i="6"/>
  <c r="G88" i="6"/>
  <c r="G154" i="6" s="1"/>
  <c r="G50" i="4"/>
  <c r="J165" i="6"/>
  <c r="E31" i="6"/>
  <c r="J133" i="6"/>
  <c r="R37" i="5"/>
  <c r="S37" i="5" s="1"/>
  <c r="D58" i="7"/>
  <c r="AC3" i="7"/>
  <c r="L57" i="7"/>
  <c r="E89" i="6"/>
  <c r="E155" i="6" s="1"/>
  <c r="E51" i="4"/>
  <c r="E90" i="6" s="1"/>
  <c r="E156" i="6" s="1"/>
  <c r="C57" i="7"/>
  <c r="J56" i="7"/>
  <c r="F12" i="5"/>
  <c r="E57" i="7" s="1"/>
  <c r="N59" i="7"/>
  <c r="Q45" i="5"/>
  <c r="D14" i="5"/>
  <c r="F14" i="5" s="1"/>
  <c r="Q93" i="5"/>
  <c r="Q141" i="5"/>
  <c r="G15" i="5"/>
  <c r="H15" i="5" s="1"/>
  <c r="F36" i="6"/>
  <c r="G36" i="6" s="1"/>
  <c r="J232" i="6"/>
  <c r="D234" i="6"/>
  <c r="J234" i="6" s="1"/>
  <c r="R85" i="5"/>
  <c r="S85" i="5" s="1"/>
  <c r="F89" i="6"/>
  <c r="F155" i="6" s="1"/>
  <c r="F51" i="4"/>
  <c r="F90" i="6" s="1"/>
  <c r="F156" i="6" s="1"/>
  <c r="F32" i="6"/>
  <c r="G32" i="6" s="1"/>
  <c r="J116" i="5"/>
  <c r="D162" i="8" s="1"/>
  <c r="F162" i="8" s="1"/>
  <c r="P115" i="5"/>
  <c r="D161" i="8"/>
  <c r="F161" i="8" s="1"/>
  <c r="J70" i="6"/>
  <c r="J69" i="6"/>
  <c r="E38" i="6"/>
  <c r="J173" i="6"/>
  <c r="J174" i="6" s="1"/>
  <c r="D92" i="8" s="1"/>
  <c r="F92" i="8" s="1"/>
  <c r="J139" i="6"/>
  <c r="R133" i="5"/>
  <c r="S133" i="5" s="1"/>
  <c r="D35" i="7"/>
  <c r="G52" i="6"/>
  <c r="F52" i="6"/>
  <c r="E35" i="7" s="1"/>
  <c r="E17" i="5"/>
  <c r="J17" i="5" s="1"/>
  <c r="I89" i="6"/>
  <c r="I155" i="6" s="1"/>
  <c r="I51" i="4"/>
  <c r="I90" i="6" s="1"/>
  <c r="I156" i="6" s="1"/>
  <c r="D43" i="8"/>
  <c r="F43" i="8" s="1"/>
  <c r="Q44" i="5"/>
  <c r="Q92" i="5"/>
  <c r="Q140" i="5"/>
  <c r="D13" i="5"/>
  <c r="F13" i="5" s="1"/>
  <c r="D163" i="8"/>
  <c r="F163" i="8" s="1"/>
  <c r="J16" i="5" l="1"/>
  <c r="AC5" i="7"/>
  <c r="H89" i="6"/>
  <c r="H155" i="6" s="1"/>
  <c r="H51" i="4"/>
  <c r="H90" i="6" s="1"/>
  <c r="H156" i="6" s="1"/>
  <c r="D202" i="8"/>
  <c r="F202" i="8" s="1"/>
  <c r="E34" i="6"/>
  <c r="J136" i="6"/>
  <c r="R141" i="5"/>
  <c r="S141" i="5" s="1"/>
  <c r="D38" i="8"/>
  <c r="F38" i="8" s="1"/>
  <c r="D89" i="6"/>
  <c r="P50" i="4"/>
  <c r="D51" i="4"/>
  <c r="D90" i="6" s="1"/>
  <c r="D156" i="6" s="1"/>
  <c r="R93" i="5"/>
  <c r="S93" i="5" s="1"/>
  <c r="Q150" i="5"/>
  <c r="R150" i="5" s="1"/>
  <c r="S150" i="5" s="1"/>
  <c r="Q54" i="5"/>
  <c r="R54" i="5" s="1"/>
  <c r="S54" i="5" s="1"/>
  <c r="Q102" i="5"/>
  <c r="R102" i="5" s="1"/>
  <c r="S102" i="5" s="1"/>
  <c r="D44" i="8"/>
  <c r="F44" i="8" s="1"/>
  <c r="Q162" i="5"/>
  <c r="Q114" i="5"/>
  <c r="Q66" i="5"/>
  <c r="D15" i="5"/>
  <c r="F15" i="5" s="1"/>
  <c r="P116" i="5"/>
  <c r="G16" i="5"/>
  <c r="D170" i="8"/>
  <c r="F170" i="8" s="1"/>
  <c r="D235" i="6"/>
  <c r="J233" i="6"/>
  <c r="R103" i="5"/>
  <c r="S103" i="5" s="1"/>
  <c r="J88" i="6"/>
  <c r="D154" i="6"/>
  <c r="G89" i="6"/>
  <c r="G155" i="6" s="1"/>
  <c r="G51" i="4"/>
  <c r="G90" i="6" s="1"/>
  <c r="G156" i="6" s="1"/>
  <c r="J80" i="6"/>
  <c r="J146" i="6" s="1"/>
  <c r="E41" i="6"/>
  <c r="J147" i="6"/>
  <c r="R140" i="5"/>
  <c r="S140" i="5" s="1"/>
  <c r="D41" i="8"/>
  <c r="F41" i="8" s="1"/>
  <c r="F31" i="6"/>
  <c r="G31" i="6" s="1"/>
  <c r="R151" i="5"/>
  <c r="S151" i="5" s="1"/>
  <c r="R45" i="5"/>
  <c r="S45" i="5" s="1"/>
  <c r="R92" i="5"/>
  <c r="S92" i="5" s="1"/>
  <c r="E33" i="6"/>
  <c r="J135" i="6"/>
  <c r="R55" i="5"/>
  <c r="S55" i="5" s="1"/>
  <c r="D59" i="7"/>
  <c r="N57" i="7"/>
  <c r="D200" i="8" s="1"/>
  <c r="F200" i="8" s="1"/>
  <c r="R44" i="5"/>
  <c r="S44" i="5" s="1"/>
  <c r="D10" i="7"/>
  <c r="F38" i="6"/>
  <c r="E10" i="7" s="1"/>
  <c r="D192" i="8" l="1"/>
  <c r="F192" i="8" s="1"/>
  <c r="G17" i="5"/>
  <c r="D164" i="8"/>
  <c r="F164" i="8" s="1"/>
  <c r="J89" i="6"/>
  <c r="D155" i="6"/>
  <c r="D83" i="8"/>
  <c r="F83" i="8" s="1"/>
  <c r="L58" i="7"/>
  <c r="AC4" i="7"/>
  <c r="H16" i="5"/>
  <c r="D171" i="8"/>
  <c r="F171" i="8" s="1"/>
  <c r="E46" i="6"/>
  <c r="J154" i="6"/>
  <c r="D87" i="8"/>
  <c r="F87" i="8" s="1"/>
  <c r="G38" i="6"/>
  <c r="F41" i="6"/>
  <c r="G41" i="6" s="1"/>
  <c r="R66" i="5"/>
  <c r="S66" i="5" s="1"/>
  <c r="F34" i="6"/>
  <c r="G34" i="6" s="1"/>
  <c r="D249" i="6"/>
  <c r="J235" i="6"/>
  <c r="D99" i="8" s="1"/>
  <c r="F99" i="8" s="1"/>
  <c r="R114" i="5"/>
  <c r="S114" i="5" s="1"/>
  <c r="D33" i="7"/>
  <c r="F33" i="6"/>
  <c r="E33" i="7" s="1"/>
  <c r="R162" i="5"/>
  <c r="S162" i="5" s="1"/>
  <c r="Q163" i="5"/>
  <c r="Q115" i="5"/>
  <c r="D16" i="5"/>
  <c r="Q67" i="5"/>
  <c r="P51" i="4"/>
  <c r="G33" i="6" l="1"/>
  <c r="L44" i="7"/>
  <c r="D196" i="8" s="1"/>
  <c r="F196" i="8" s="1"/>
  <c r="U7" i="7"/>
  <c r="E249" i="6"/>
  <c r="N44" i="7" s="1"/>
  <c r="D101" i="8"/>
  <c r="F101" i="8" s="1"/>
  <c r="C58" i="7"/>
  <c r="L56" i="7"/>
  <c r="AC2" i="7"/>
  <c r="D205" i="8" s="1"/>
  <c r="F205" i="8" s="1"/>
  <c r="F16" i="5"/>
  <c r="E58" i="7" s="1"/>
  <c r="R163" i="5"/>
  <c r="S163" i="5" s="1"/>
  <c r="D45" i="8"/>
  <c r="F45" i="8" s="1"/>
  <c r="Q164" i="5"/>
  <c r="R164" i="5" s="1"/>
  <c r="S164" i="5" s="1"/>
  <c r="Q68" i="5"/>
  <c r="R68" i="5" s="1"/>
  <c r="S68" i="5" s="1"/>
  <c r="D17" i="5"/>
  <c r="Q116" i="5"/>
  <c r="R116" i="5" s="1"/>
  <c r="S116" i="5" s="1"/>
  <c r="D240" i="6"/>
  <c r="E47" i="6"/>
  <c r="J90" i="6"/>
  <c r="J155" i="6"/>
  <c r="R67" i="5"/>
  <c r="S67" i="5" s="1"/>
  <c r="D165" i="8"/>
  <c r="F165" i="8" s="1"/>
  <c r="F46" i="6"/>
  <c r="G46" i="6" s="1"/>
  <c r="N58" i="7"/>
  <c r="D201" i="8" s="1"/>
  <c r="F201" i="8" s="1"/>
  <c r="H17" i="5"/>
  <c r="R115" i="5"/>
  <c r="S115" i="5" s="1"/>
  <c r="N56" i="7" l="1"/>
  <c r="D199" i="8" s="1"/>
  <c r="F199" i="8" s="1"/>
  <c r="C59" i="7"/>
  <c r="F17" i="5"/>
  <c r="E59" i="7" s="1"/>
  <c r="E48" i="6"/>
  <c r="J156" i="6"/>
  <c r="D85" i="8" s="1"/>
  <c r="F85" i="8" s="1"/>
  <c r="D11" i="7"/>
  <c r="F47" i="6"/>
  <c r="E11" i="7" s="1"/>
  <c r="L36" i="7"/>
  <c r="D197" i="8" s="1"/>
  <c r="F197" i="8" s="1"/>
  <c r="D255" i="6"/>
  <c r="D257" i="6" s="1"/>
  <c r="D198" i="8" l="1"/>
  <c r="F198" i="8" s="1"/>
  <c r="D12" i="7"/>
  <c r="F48" i="6"/>
  <c r="D100" i="8"/>
  <c r="F100" i="8" s="1"/>
  <c r="E257" i="6"/>
  <c r="G47" i="6"/>
  <c r="D193" i="8"/>
  <c r="F193" i="8" s="1"/>
  <c r="E12" i="7" l="1"/>
  <c r="D194" i="8" s="1"/>
  <c r="F194" i="8" s="1"/>
  <c r="D86" i="8"/>
  <c r="F86" i="8" s="1"/>
  <c r="D4" i="8" l="1"/>
</calcChain>
</file>

<file path=xl/sharedStrings.xml><?xml version="1.0" encoding="utf-8"?>
<sst xmlns="http://schemas.openxmlformats.org/spreadsheetml/2006/main" count="2391" uniqueCount="898">
  <si>
    <t>SYNTHETIC DATA: Palmetto Stay is fictional. All company-specific budgets, actuals, operating records, staffing information, and management updates are synthetic and contain no confidential company information.</t>
  </si>
  <si>
    <t>Workbook purpose</t>
  </si>
  <si>
    <t>Case version</t>
  </si>
  <si>
    <t>v1.0</t>
  </si>
  <si>
    <t>Current build status</t>
  </si>
  <si>
    <t>Analysis cutoff</t>
  </si>
  <si>
    <t>Worksheet</t>
  </si>
  <si>
    <t>Role</t>
  </si>
  <si>
    <t>Start</t>
  </si>
  <si>
    <t>Purpose, navigation, conventions, and use instructions</t>
  </si>
  <si>
    <t>Complete</t>
  </si>
  <si>
    <t>Data</t>
  </si>
  <si>
    <t>Frozen recorded actuals and dated case information</t>
  </si>
  <si>
    <t>Assumptions</t>
  </si>
  <si>
    <t>Frozen approved 2026 budget drivers</t>
  </si>
  <si>
    <t>Budget</t>
  </si>
  <si>
    <t>Formula-driven approved 2026 operating budget</t>
  </si>
  <si>
    <t>Forecast</t>
  </si>
  <si>
    <t>Actualized forecast and scenarios</t>
  </si>
  <si>
    <t>Variance</t>
  </si>
  <si>
    <t>Actual-versus-budget analysis</t>
  </si>
  <si>
    <t>Review</t>
  </si>
  <si>
    <t>Two-page management-facing review</t>
  </si>
  <si>
    <t>Checks</t>
  </si>
  <si>
    <t>Terminal source, model, aggregation, and package controls</t>
  </si>
  <si>
    <t>Model-use instructions</t>
  </si>
  <si>
    <t>Review the frozen source tables, trace actuals through Variance, trace the outlook through Forecast and Assumptions, and inspect formulas before using results.</t>
  </si>
  <si>
    <t>Required control step</t>
  </si>
  <si>
    <t>Review the Checks tab before relying on this workbook. This instruction is static and is not linked to a check result.</t>
  </si>
  <si>
    <t>Later-phase status</t>
  </si>
  <si>
    <t>Expense convention</t>
  </si>
  <si>
    <t>Expenses are positive values and are subtracted when calculating property operating contribution.</t>
  </si>
  <si>
    <t>Variance convention</t>
  </si>
  <si>
    <t>Revenue and contribution use Actual minus Budget; expense tables also use Actual cost minus Budget cost, while contribution impacts reverse expense changes.</t>
  </si>
  <si>
    <t>Color and format legend</t>
  </si>
  <si>
    <t>Meaning</t>
  </si>
  <si>
    <t>Approved source input</t>
  </si>
  <si>
    <t>Blue font with pale-yellow fill</t>
  </si>
  <si>
    <t>Recorded source fact</t>
  </si>
  <si>
    <t>Dark text with pale-blue fill</t>
  </si>
  <si>
    <t>Cross-sheet formula</t>
  </si>
  <si>
    <t>Green font</t>
  </si>
  <si>
    <t>Same-sheet formula or result</t>
  </si>
  <si>
    <t>Black font</t>
  </si>
  <si>
    <t>Property</t>
  </si>
  <si>
    <t>One independently operated, leased limited-service hotel with 100 rooms</t>
  </si>
  <si>
    <t>Scope</t>
  </si>
  <si>
    <t>Room revenue and modeled property operating costs only</t>
  </si>
  <si>
    <t>Frozen source data</t>
  </si>
  <si>
    <t>Static imports from case version v1.0. Actual KPIs and variances are intentionally not calculated on this sheet.</t>
  </si>
  <si>
    <t>Source: data/financial_actuals.csv | Case version: v1.0 | Static recorded facts</t>
  </si>
  <si>
    <t>case_version</t>
  </si>
  <si>
    <t>period</t>
  </si>
  <si>
    <t>account_code</t>
  </si>
  <si>
    <t>account_name</t>
  </si>
  <si>
    <t>amount_usd</t>
  </si>
  <si>
    <t>4000</t>
  </si>
  <si>
    <t>Room Revenue</t>
  </si>
  <si>
    <t>5000</t>
  </si>
  <si>
    <t>Housekeeping Payroll</t>
  </si>
  <si>
    <t>5100</t>
  </si>
  <si>
    <t>Guest Services</t>
  </si>
  <si>
    <t>5200</t>
  </si>
  <si>
    <t>Distribution and Payment</t>
  </si>
  <si>
    <t>6000</t>
  </si>
  <si>
    <t>Fixed Staff Payroll</t>
  </si>
  <si>
    <t>6100</t>
  </si>
  <si>
    <t>Rent</t>
  </si>
  <si>
    <t>6200</t>
  </si>
  <si>
    <t>Property Overhead</t>
  </si>
  <si>
    <t>6300</t>
  </si>
  <si>
    <t>Marketing</t>
  </si>
  <si>
    <t>Source: data/operating_actuals.csv | Case version: v1.0 | Static recorded facts</t>
  </si>
  <si>
    <t>segment</t>
  </si>
  <si>
    <t>occupied_room_nights</t>
  </si>
  <si>
    <t>room_revenue</t>
  </si>
  <si>
    <t>Retail/Leisure</t>
  </si>
  <si>
    <t>Negotiated Corporate</t>
  </si>
  <si>
    <t>Source: data/labor_actuals.csv | Case version: v1.0 | Static recorded facts</t>
  </si>
  <si>
    <t>housekeeping_hours</t>
  </si>
  <si>
    <t>housekeeping_payroll</t>
  </si>
  <si>
    <t>fixed_staff_fte</t>
  </si>
  <si>
    <t>fixed_staff_payroll</t>
  </si>
  <si>
    <t>Source: data/case_updates.csv | Information cutoff: July 8, 2026 | Static case information</t>
  </si>
  <si>
    <t>update_id</t>
  </si>
  <si>
    <t>as_of_date</t>
  </si>
  <si>
    <t>effective_start</t>
  </si>
  <si>
    <t>effective_end</t>
  </si>
  <si>
    <t>category</t>
  </si>
  <si>
    <t>observation</t>
  </si>
  <si>
    <t>evidence_status</t>
  </si>
  <si>
    <t>forecast_relevance</t>
  </si>
  <si>
    <t>UPD-2026-001</t>
  </si>
  <si>
    <t>Demand</t>
  </si>
  <si>
    <t>Weekly property records show retail/leisure occupied room nights below the approved planning pattern during March and April.</t>
  </si>
  <si>
    <t>Confirmed</t>
  </si>
  <si>
    <t>Use the dated results when reassessing second-half retail/leisure demand.</t>
  </si>
  <si>
    <t>UPD-2026-002</t>
  </si>
  <si>
    <t>Customer Mix</t>
  </si>
  <si>
    <t>Negotiated corporate accounts generated additional transient room nights during the spring; no guaranteed room blocks are in place.</t>
  </si>
  <si>
    <t>Separate customer mix from total demand when updating the outlook.</t>
  </si>
  <si>
    <t>UPD-2026-003</t>
  </si>
  <si>
    <t>Labor Rate</t>
  </si>
  <si>
    <t>The loaded housekeeping wage increases to 23.25 per hour on April 1.</t>
  </si>
  <si>
    <t>Apply the confirmed wage schedule from its effective date.</t>
  </si>
  <si>
    <t>UPD-2026-004</t>
  </si>
  <si>
    <t>Labor Productivity</t>
  </si>
  <si>
    <t>Property logs record higher housekeeping hours during April and May; management expects the transition to continue easing after June.</t>
  </si>
  <si>
    <t>Management Estimate</t>
  </si>
  <si>
    <t>Retain the observed disruption and document any future normalization assumption.</t>
  </si>
  <si>
    <t>UPD-2026-005</t>
  </si>
  <si>
    <t>Marketing Timing</t>
  </si>
  <si>
    <t>The marketing activity scheduled for June was not delivered and has been rescheduled for September.</t>
  </si>
  <si>
    <t>Reflect service timing rather than payment timing in future assumptions.</t>
  </si>
  <si>
    <t>UPD-2026-006</t>
  </si>
  <si>
    <t>A modest May property-overhead increase remains under vendor-detail review; available records do not establish a definitive cause.</t>
  </si>
  <si>
    <t>Unconfirmed</t>
  </si>
  <si>
    <t>Request invoice detail before changing ongoing overhead assumptions.</t>
  </si>
  <si>
    <t>UPD-2026-007</t>
  </si>
  <si>
    <t>Demand Outlook</t>
  </si>
  <si>
    <t>Management's current view assumes partial second-half retail/leisure recovery, subject to summer pickup.</t>
  </si>
  <si>
    <t>Use only as a documented future assumption; recorded actuals remain unchanged.</t>
  </si>
  <si>
    <t>Approved 2026 budget assumptions</t>
  </si>
  <si>
    <t>The frozen approved plan is the single authoritative source for the Budget sheet.</t>
  </si>
  <si>
    <t>Source: data/approved_budget_assumptions.csv | Case version: v1.0 | Approved before 2026 actual results</t>
  </si>
  <si>
    <t>rooms_available</t>
  </si>
  <si>
    <t>total_occupied_room_nights</t>
  </si>
  <si>
    <t>corporate_share</t>
  </si>
  <si>
    <t>retail_adr</t>
  </si>
  <si>
    <t>corporate_adr</t>
  </si>
  <si>
    <t>housekeeping_hours_per_occupied_room</t>
  </si>
  <si>
    <t>housekeeping_loaded_wage_per_hour</t>
  </si>
  <si>
    <t>guest_service_cost_per_occupied_room</t>
  </si>
  <si>
    <t>distribution_fee_rate</t>
  </si>
  <si>
    <t>fixed_staff_loaded_cost_per_fte</t>
  </si>
  <si>
    <t>rent</t>
  </si>
  <si>
    <t>property_overhead</t>
  </si>
  <si>
    <t>marketing</t>
  </si>
  <si>
    <t>Input treatment</t>
  </si>
  <si>
    <t>Static approved source values; do not overwrite for forecast or scenarios.</t>
  </si>
  <si>
    <t>Date convention</t>
  </si>
  <si>
    <t>Monthly period keys use the first day of each month.</t>
  </si>
  <si>
    <t>Budget link</t>
  </si>
  <si>
    <t>Budget formulas match each monthly header to this table.</t>
  </si>
  <si>
    <t>Formatting</t>
  </si>
  <si>
    <t>Blue font and pale-yellow fill identify approved source inputs.</t>
  </si>
  <si>
    <t>2026 RF1 assumptions</t>
  </si>
  <si>
    <t>A later analytical layer for July–December 2026. The approved budget assumptions above remain frozen and are not overwritten.</t>
  </si>
  <si>
    <t>Forecast controls</t>
  </si>
  <si>
    <t>Forecast version</t>
  </si>
  <si>
    <t>2026 RF1</t>
  </si>
  <si>
    <t>Information cutoff</t>
  </si>
  <si>
    <t>Actual through</t>
  </si>
  <si>
    <t>First forecast</t>
  </si>
  <si>
    <t>Last forecast</t>
  </si>
  <si>
    <t>Base</t>
  </si>
  <si>
    <t>Official working reforecast: partial retail recovery, continued corporate support, structural wage rate, staged productivity normalization, and deferred September marketing.</t>
  </si>
  <si>
    <t>Upside</t>
  </si>
  <si>
    <t>Bounded sensitivity: stronger demand and pricing with faster housekeeping productivity normalization.</t>
  </si>
  <si>
    <t>Downside</t>
  </si>
  <si>
    <t>Bounded sensitivity: persistent demand weakness, less corporate offset, rate pressure, and slower productivity normalization.</t>
  </si>
  <si>
    <t>Scenario ranges support decisions; they are not probability weighted and are not confidence intervals. RF1 accuracy cannot be evaluated until later actuals exist.</t>
  </si>
  <si>
    <t>Base case monthly assumptions</t>
  </si>
  <si>
    <t>Driver</t>
  </si>
  <si>
    <t>Basis type</t>
  </si>
  <si>
    <t>Source / update</t>
  </si>
  <si>
    <t>Jul-26</t>
  </si>
  <si>
    <t>Aug-26</t>
  </si>
  <si>
    <t>Sep-26</t>
  </si>
  <si>
    <t>Oct-26</t>
  </si>
  <si>
    <t>Nov-26</t>
  </si>
  <si>
    <t>Dec-26</t>
  </si>
  <si>
    <t>Rooms available</t>
  </si>
  <si>
    <t>Approved budget</t>
  </si>
  <si>
    <t>Approved assumption pack</t>
  </si>
  <si>
    <t>Occupied room nights</t>
  </si>
  <si>
    <t>Analyst judgment</t>
  </si>
  <si>
    <t>UPD-2026-001, 002, 007</t>
  </si>
  <si>
    <t>Corporate share</t>
  </si>
  <si>
    <t>Actual run rate</t>
  </si>
  <si>
    <t>Retail ADR</t>
  </si>
  <si>
    <t>Corporate ADR</t>
  </si>
  <si>
    <t>Recorded actuals and budget</t>
  </si>
  <si>
    <t>Housekeeping hours per occupied room</t>
  </si>
  <si>
    <t>Housekeeping loaded wage per hour</t>
  </si>
  <si>
    <t>Case update</t>
  </si>
  <si>
    <t>Guest-service cost per occupied room</t>
  </si>
  <si>
    <t>Distribution fee rate</t>
  </si>
  <si>
    <t>Locked 4% policy</t>
  </si>
  <si>
    <t>Fixed-staff FTE</t>
  </si>
  <si>
    <t>Fixed-staff loaded cost per FTE</t>
  </si>
  <si>
    <t>Property overhead</t>
  </si>
  <si>
    <t>Base assumption rationale</t>
  </si>
  <si>
    <t>H1 weakness is retained, but monthly budget seasonality and the July 8 management estimate support a partial rather than immediate recovery. Corporate support offsets part of continued retail softness.</t>
  </si>
  <si>
    <t>Customer mix</t>
  </si>
  <si>
    <t>Spring actuals and UPD-2026-002 support elevated corporate share through year-end without treating negotiated activity as guaranteed.</t>
  </si>
  <si>
    <t>Pricing</t>
  </si>
  <si>
    <t>Retail ADR stays at the approved monthly path because realized H1 rates were near plan. Corporate ADR adds a modest $0.50 to the approved path based on recent realized rates.</t>
  </si>
  <si>
    <t>Wage</t>
  </si>
  <si>
    <t>The confirmed April 1 loaded wage of $23.25 remains structural through December in every scenario.</t>
  </si>
  <si>
    <t>Productivity</t>
  </si>
  <si>
    <t>The April–May disruption eases after June and reaches the approved monthly path by October in Base.</t>
  </si>
  <si>
    <t>Guest service</t>
  </si>
  <si>
    <t>No dated evidence supports a new unit-cost path, so the approved monthly assumptions remain in every scenario.</t>
  </si>
  <si>
    <t>Fixed staffing and rent</t>
  </si>
  <si>
    <t>The approved H2 staffing, loaded cost, and rent remain unchanged because no source supports a revision.</t>
  </si>
  <si>
    <t>The $18,000 June activity that was not delivered is added to September. Other H2 monthly amounts remain at budget.</t>
  </si>
  <si>
    <t>The unconfirmed May item is not annualized. Approved H2 monthly overhead remains unchanged pending vendor detail.</t>
  </si>
  <si>
    <t>Upside scenario assumptions — changes from Base only</t>
  </si>
  <si>
    <t>Budget plus 1%</t>
  </si>
  <si>
    <t>Base plus 0.5%</t>
  </si>
  <si>
    <t>Downside scenario assumptions — changes from Base only</t>
  </si>
  <si>
    <t>UPD-2026-001, 007</t>
  </si>
  <si>
    <t>Base less 2%</t>
  </si>
  <si>
    <t>Base less 1%</t>
  </si>
  <si>
    <t>All drivers not listed in the scenario sections use Base. Scenario differences apply only to July–December 2026.</t>
  </si>
  <si>
    <t>Approved 2026 operating budget</t>
  </si>
  <si>
    <t>Formula-driven build from the frozen approved assumption pack. Expenses are shown as positive values.</t>
  </si>
  <si>
    <t>Metric</t>
  </si>
  <si>
    <t>FY2026</t>
  </si>
  <si>
    <t>FY column uses sums for additive lines and weighted or average calculations for rates and monthly levels.</t>
  </si>
  <si>
    <t>Operating drivers</t>
  </si>
  <si>
    <t>Calendar days</t>
  </si>
  <si>
    <t>Available room nights</t>
  </si>
  <si>
    <t>Total occupied room nights</t>
  </si>
  <si>
    <t>Occupancy</t>
  </si>
  <si>
    <t>Retail room nights</t>
  </si>
  <si>
    <t>Corporate room nights</t>
  </si>
  <si>
    <t>Revenue</t>
  </si>
  <si>
    <t>Retail room revenue</t>
  </si>
  <si>
    <t>Corporate room revenue</t>
  </si>
  <si>
    <t>Total room revenue</t>
  </si>
  <si>
    <t>Blended ADR</t>
  </si>
  <si>
    <t>RevPAR</t>
  </si>
  <si>
    <t>Variable and operating costs</t>
  </si>
  <si>
    <t>Loaded housekeeping wage per hour</t>
  </si>
  <si>
    <t>Housekeeping hours</t>
  </si>
  <si>
    <t>Housekeeping payroll</t>
  </si>
  <si>
    <t>Guest-service expense</t>
  </si>
  <si>
    <t>Distribution and payment expense</t>
  </si>
  <si>
    <t>Fixed costs</t>
  </si>
  <si>
    <t>Fixed staff FTE</t>
  </si>
  <si>
    <t>Fixed staff loaded cost per FTE</t>
  </si>
  <si>
    <t>Fixed staff payroll</t>
  </si>
  <si>
    <t>Profitability</t>
  </si>
  <si>
    <t>Total operating costs</t>
  </si>
  <si>
    <t>Property operating contribution</t>
  </si>
  <si>
    <t>Contribution margin</t>
  </si>
  <si>
    <t>2026 RF1 — Actuals Through June 2026</t>
  </si>
  <si>
    <t>January–June recorded actuals plus a July–December driver-based forecast. Base is the official working reforecast; Upside and Downside are bounded sensitivities.</t>
  </si>
  <si>
    <t>Cutoff</t>
  </si>
  <si>
    <t>Actuals</t>
  </si>
  <si>
    <t>Jan–Jun 2026</t>
  </si>
  <si>
    <t>Jul–Dec 2026</t>
  </si>
  <si>
    <t>Official case</t>
  </si>
  <si>
    <t>Full-year scenario summary</t>
  </si>
  <si>
    <t>Principal H2 driver differences</t>
  </si>
  <si>
    <t>Approved Budget</t>
  </si>
  <si>
    <t>Base RF1</t>
  </si>
  <si>
    <t>Base vs Budget</t>
  </si>
  <si>
    <t>Upside vs Base</t>
  </si>
  <si>
    <t>Downside vs Base</t>
  </si>
  <si>
    <t>Δ vs Base</t>
  </si>
  <si>
    <t>H2 occupied room nights</t>
  </si>
  <si>
    <t>H2 corporate share</t>
  </si>
  <si>
    <t>H2 Retail ADR</t>
  </si>
  <si>
    <t>H2 Corporate ADR</t>
  </si>
  <si>
    <t>H2 housekeeping hours / occupied room</t>
  </si>
  <si>
    <t>Forecast accuracy: Phase 3 actual-versus-budget analysis is the available evidence about approved-plan performance. RF1 accuracy cannot be evaluated until later actual results exist.</t>
  </si>
  <si>
    <t>Scenario ranges are decision-support cases, not confidence intervals, and no probability weighting is used.</t>
  </si>
  <si>
    <t>Detailed scenarios — January–June Actual (A), July–December Forecast (F)</t>
  </si>
  <si>
    <t>Base — 2026 RF1</t>
  </si>
  <si>
    <t>Period type</t>
  </si>
  <si>
    <t>A</t>
  </si>
  <si>
    <t>F</t>
  </si>
  <si>
    <t>Variance % / pp</t>
  </si>
  <si>
    <t>Month</t>
  </si>
  <si>
    <t>Actual costs remain recorded facts; forecast costs use visible assumptions.</t>
  </si>
  <si>
    <t>Housekeeping wage per hour</t>
  </si>
  <si>
    <t>Fixed-staff cost per FTE</t>
  </si>
  <si>
    <t>Fixed-staff payroll</t>
  </si>
  <si>
    <t>Upside — 2026 RF1</t>
  </si>
  <si>
    <t>Downside — 2026 RF1</t>
  </si>
  <si>
    <t>Actual performance and variance attribution</t>
  </si>
  <si>
    <t>January–June 2026 actuals compared with the matched approved budget and January–June 2025 actuals.</t>
  </si>
  <si>
    <t>Analysis scope and conventions</t>
  </si>
  <si>
    <t>Actual period</t>
  </si>
  <si>
    <t>January–June 2026 recorded actuals</t>
  </si>
  <si>
    <t>Budget comparison</t>
  </si>
  <si>
    <t>January–June 2026 approved budget</t>
  </si>
  <si>
    <t>Prior-year comparison</t>
  </si>
  <si>
    <t>January–June 2025 recorded actuals</t>
  </si>
  <si>
    <t>Synthetic-data disclosure</t>
  </si>
  <si>
    <t>Palmetto Stay is fictional. All company-specific actuals, budgets, operating records, staffing information, and case updates are synthetic.</t>
  </si>
  <si>
    <t>Source references</t>
  </si>
  <si>
    <t>Data: financial_actuals.csv, operating_actuals.csv, labor_actuals.csv, and case_updates.csv. Budget: approved Budget sheet built from approved_budget_assumptions.csv.</t>
  </si>
  <si>
    <t>Revenue and contribution</t>
  </si>
  <si>
    <t>Actual minus Budget. Positive is favorable.</t>
  </si>
  <si>
    <t>Expense analysis</t>
  </si>
  <si>
    <t>Actual cost minus Budget cost. Positive is a cost increase and unfavorable.</t>
  </si>
  <si>
    <t>Contribution bridge expenses</t>
  </si>
  <si>
    <t>Budget cost minus Actual cost. Positive is favorable to contribution.</t>
  </si>
  <si>
    <t>Sequential bridges</t>
  </si>
  <si>
    <t>Revenue uses volume, mix, then rate. Housekeeping uses volume, efficiency, then wage rate. Monthly effects sum to YTD.</t>
  </si>
  <si>
    <t>Materiality guidance</t>
  </si>
  <si>
    <t>Review items with absolute YTD variance of at least $10,000, at least 5.0% on a meaningful base, or a known or unresolved qualitative event. A flag is not proof of causation.</t>
  </si>
  <si>
    <t>Interaction-effect disclosure</t>
  </si>
  <si>
    <t>Sequential attribution assigns interaction effects according to the stated order. It is a consistent analytical convention, not the only possible causal allocation.</t>
  </si>
  <si>
    <t>YTD operating scorecard</t>
  </si>
  <si>
    <t>Revenue and contribution variance: positive is favorable. Expense variance: positive is a cost increase and unfavorable. Occupancy, corporate share, and contribution margin changes are percentage points.</t>
  </si>
  <si>
    <t>2026 Actual</t>
  </si>
  <si>
    <t>2026 Budget</t>
  </si>
  <si>
    <t>Variance / pp</t>
  </si>
  <si>
    <t>Variance %</t>
  </si>
  <si>
    <t>2025 Actual</t>
  </si>
  <si>
    <t>YoY change / pp</t>
  </si>
  <si>
    <t>YoY change %</t>
  </si>
  <si>
    <t>Operating KPIs</t>
  </si>
  <si>
    <t>n.a.</t>
  </si>
  <si>
    <t>Financial performance</t>
  </si>
  <si>
    <t>Labor and unit metrics</t>
  </si>
  <si>
    <t>Effective housekeeping wage per hour</t>
  </si>
  <si>
    <t>Average fixed-staff FTE</t>
  </si>
  <si>
    <t>Fixed-staff cost per FTE-month</t>
  </si>
  <si>
    <t>Monthly actual-versus-budget detail</t>
  </si>
  <si>
    <t>Six monthly columns plus YTD. Expense variances use Actual cost minus Budget cost; positive is unfavorable. Occupancy, corporate share, distribution rate, and contribution margin variances are shown in percentage points.</t>
  </si>
  <si>
    <t>YTD</t>
  </si>
  <si>
    <t>Recorded actual</t>
  </si>
  <si>
    <t>Actual minus budget</t>
  </si>
  <si>
    <t>Revenue volume, mix, and rate bridge</t>
  </si>
  <si>
    <t>Actual minus Budget. Positive is favorable. Sequential order: volume, mix, then rate. Interaction effects follow this order; monthly effects sum to YTD.</t>
  </si>
  <si>
    <t>Budget occupied room nights</t>
  </si>
  <si>
    <t>Actual occupied room nights</t>
  </si>
  <si>
    <t>Budget corporate share</t>
  </si>
  <si>
    <t>Actual corporate share</t>
  </si>
  <si>
    <t>Budget retail ADR</t>
  </si>
  <si>
    <t>Actual retail ADR</t>
  </si>
  <si>
    <t>Budget corporate ADR</t>
  </si>
  <si>
    <t>Actual corporate ADR</t>
  </si>
  <si>
    <t>Volume effect</t>
  </si>
  <si>
    <t>Mix effect</t>
  </si>
  <si>
    <t>Rate effect</t>
  </si>
  <si>
    <t>Sum of effects</t>
  </si>
  <si>
    <t>Reported revenue variance</t>
  </si>
  <si>
    <t>Bridge residual</t>
  </si>
  <si>
    <t>Housekeeping cost bridge</t>
  </si>
  <si>
    <t>Actual cost minus Budget cost. Positive is a cost increase and unfavorable. Sequential order: volume, efficiency, then wage rate. Recorded hours and payroll remain independent facts.</t>
  </si>
  <si>
    <t>Budget hours per occupied room</t>
  </si>
  <si>
    <t>Actual hours per occupied room</t>
  </si>
  <si>
    <t>Budget housekeeping hours</t>
  </si>
  <si>
    <t>Actual housekeeping hours</t>
  </si>
  <si>
    <t>Budget loaded wage</t>
  </si>
  <si>
    <t>Actual effective wage</t>
  </si>
  <si>
    <t>Budget housekeeping payroll</t>
  </si>
  <si>
    <t>Actual housekeeping payroll</t>
  </si>
  <si>
    <t>Efficiency effect</t>
  </si>
  <si>
    <t>Wage-rate effect</t>
  </si>
  <si>
    <t>Reported housekeeping cost variance</t>
  </si>
  <si>
    <t>Guest-service cost bridge</t>
  </si>
  <si>
    <t>Actual cost minus Budget cost. Positive is a cost increase and unfavorable. Lower volume is separated from unit-cost performance.</t>
  </si>
  <si>
    <t>Budget unit cost</t>
  </si>
  <si>
    <t>Actual unit cost</t>
  </si>
  <si>
    <t>Budget guest-service expense</t>
  </si>
  <si>
    <t>Actual guest-service expense</t>
  </si>
  <si>
    <t>Unit-cost effect</t>
  </si>
  <si>
    <t>Reported guest-service cost variance</t>
  </si>
  <si>
    <t>Fixed-staff payroll bridge</t>
  </si>
  <si>
    <t>Actual cost minus Budget cost. Positive is a cost increase and unfavorable. Frozen labor data support both recorded FTE and payroll.</t>
  </si>
  <si>
    <t>Budget fixed-staff FTE</t>
  </si>
  <si>
    <t>Actual fixed-staff FTE</t>
  </si>
  <si>
    <t>Budget cost per FTE</t>
  </si>
  <si>
    <t>Actual cost per FTE</t>
  </si>
  <si>
    <t>Budget fixed-staff payroll</t>
  </si>
  <si>
    <t>Actual fixed-staff payroll</t>
  </si>
  <si>
    <t>FTE effect</t>
  </si>
  <si>
    <t>Reported fixed-staff cost variance</t>
  </si>
  <si>
    <t>Other expense variances</t>
  </si>
  <si>
    <t>Actual cost minus Budget cost. Positive is a cost increase and unfavorable. Distribution remains fixed at 4% of recorded revenue; it has no independent fee-rate variance.</t>
  </si>
  <si>
    <t>Rent cost change</t>
  </si>
  <si>
    <t>Property-overhead cost change</t>
  </si>
  <si>
    <t>Marketing cost change</t>
  </si>
  <si>
    <t>Revenue variance</t>
  </si>
  <si>
    <t>Distribution cost change</t>
  </si>
  <si>
    <t>Mechanical 4% of revenue variance</t>
  </si>
  <si>
    <t>Distribution linkage residual</t>
  </si>
  <si>
    <t>Property operating contribution bridge</t>
  </si>
  <si>
    <t>Revenue effects enter unchanged. Expense effects are reversed: Budget cost minus Actual cost. Positive contribution impact is favorable.</t>
  </si>
  <si>
    <t>Bridge component</t>
  </si>
  <si>
    <t>YTD contribution impact</t>
  </si>
  <si>
    <t>Direction</t>
  </si>
  <si>
    <t>YTD budget property operating contribution</t>
  </si>
  <si>
    <t>Starting point</t>
  </si>
  <si>
    <t>Revenue volume effect</t>
  </si>
  <si>
    <t>Revenue mix effect</t>
  </si>
  <si>
    <t>Revenue rate effect</t>
  </si>
  <si>
    <t>Housekeeping volume impact</t>
  </si>
  <si>
    <t>Housekeeping efficiency impact</t>
  </si>
  <si>
    <t>Housekeeping wage-rate impact</t>
  </si>
  <si>
    <t>Guest-service volume impact</t>
  </si>
  <si>
    <t>Guest-service unit-cost impact</t>
  </si>
  <si>
    <t>Distribution-fee impact</t>
  </si>
  <si>
    <t>Fixed-staff FTE impact</t>
  </si>
  <si>
    <t>Fixed-staff rate impact</t>
  </si>
  <si>
    <t>Rent impact</t>
  </si>
  <si>
    <t>Property-overhead impact</t>
  </si>
  <si>
    <t>Marketing impact</t>
  </si>
  <si>
    <t>Bridged YTD actual contribution</t>
  </si>
  <si>
    <t>Ending point</t>
  </si>
  <si>
    <t>Recorded YTD actual contribution</t>
  </si>
  <si>
    <t>Recorded result</t>
  </si>
  <si>
    <t>Unexplained residual</t>
  </si>
  <si>
    <t>Evidence-controlled commentary register</t>
  </si>
  <si>
    <t>Only meaningful results and supplied events are included. Observations are separated from interpretation; Phase 4 implications remain qualitative and are not forecast assumptions.</t>
  </si>
  <si>
    <t>Variance or issue</t>
  </si>
  <si>
    <t>Period</t>
  </si>
  <si>
    <t>Observed result</t>
  </si>
  <si>
    <t>Financial impact</t>
  </si>
  <si>
    <t>Operating driver</t>
  </si>
  <si>
    <t>Evidence or case-update reference</t>
  </si>
  <si>
    <t>Confidence</t>
  </si>
  <si>
    <t>Classification</t>
  </si>
  <si>
    <t>Potential Phase 4 forecast implication</t>
  </si>
  <si>
    <t>Follow-up required</t>
  </si>
  <si>
    <t>Spring retail/leisure weakness</t>
  </si>
  <si>
    <t>Mar–Apr 2026</t>
  </si>
  <si>
    <t>Retail room nights were 453.2 below the matched budget across March and April. The bridge's total-volume effect is not a customer-level causal allocation.</t>
  </si>
  <si>
    <t>Occupied-room volume</t>
  </si>
  <si>
    <t>UPD-2026-001 | 2026-04-15 | Weekly property records show retail/leisure occupied room nights below the approved planning pattern during March and April.</t>
  </si>
  <si>
    <t>Uncertain or unconfirmed</t>
  </si>
  <si>
    <t>Evaluate whether the observed retail/leisure weakness persists when Phase 4 assumptions are set.</t>
  </si>
  <si>
    <t>Compare summer pickup with the dated retail/leisure pattern before changing the outlook.</t>
  </si>
  <si>
    <t>Negotiated-corporate support</t>
  </si>
  <si>
    <t>Mar–Jun 2026</t>
  </si>
  <si>
    <t>YTD corporate room nights were 507.0 above budget and corporate share was 6.0 percentage points above budget. The sequential mix effect reflects the lower corporate ADR relative to retail ADR.</t>
  </si>
  <si>
    <t>UPD-2026-002 | 2026-05-20 | Negotiated corporate accounts generated additional transient room nights during the spring; no guaranteed room blocks are in place.</t>
  </si>
  <si>
    <t>Mix-related</t>
  </si>
  <si>
    <t>Evaluate corporate pickup separately from total demand in Phase 4.</t>
  </si>
  <si>
    <t>Retain the no-guaranteed-block limitation when reviewing future corporate volume.</t>
  </si>
  <si>
    <t>Housekeeping wage increase</t>
  </si>
  <si>
    <t>Apr–Jun 2026</t>
  </si>
  <si>
    <t>Actual effective wage increased after April 1. The bridge isolates the wage-rate cost effect from volume and efficiency.</t>
  </si>
  <si>
    <t>Loaded wage per hour</t>
  </si>
  <si>
    <t>UPD-2026-003 | 2026-03-18 | The loaded housekeeping wage increases to 23.25 per hour on April 1.</t>
  </si>
  <si>
    <t>Structural</t>
  </si>
  <si>
    <t>Apply the confirmed wage schedule when Phase 4 assumptions are developed.</t>
  </si>
  <si>
    <t>No causal follow-up required; preserve the confirmed effective date.</t>
  </si>
  <si>
    <t>Housekeeping productivity disruption</t>
  </si>
  <si>
    <t>Apr–May 2026</t>
  </si>
  <si>
    <t>Housekeeping hours per occupied room exceeded budget in April and May. The efficiency effect is separated from the April wage change.</t>
  </si>
  <si>
    <t>Hours per occupied room</t>
  </si>
  <si>
    <t>UPD-2026-004 | 2026-06-20 | Property logs record higher housekeeping hours during April and May; management expects the transition to continue easing after June.</t>
  </si>
  <si>
    <t>Temporary</t>
  </si>
  <si>
    <t>Evaluate the documented easing assumption in Phase 4; do not treat it as a recorded result.</t>
  </si>
  <si>
    <t>Review post-June productivity evidence before setting a normalization path.</t>
  </si>
  <si>
    <t>June marketing timing</t>
  </si>
  <si>
    <t>Jun 2026</t>
  </si>
  <si>
    <t>Recorded June marketing was $18,000 below budget because the scheduled activity was not delivered in June.</t>
  </si>
  <si>
    <t>Service timing</t>
  </si>
  <si>
    <t>UPD-2026-005 | 2026-06-24 | The marketing activity scheduled for June was not delivered and has been rescheduled for September.</t>
  </si>
  <si>
    <t>Timing</t>
  </si>
  <si>
    <t>Evaluate the September service timing in Phase 4 without changing recorded June actuals.</t>
  </si>
  <si>
    <t>Confirm the September service schedule when forecast assumptions are authorized.</t>
  </si>
  <si>
    <t>Unresolved property-overhead item</t>
  </si>
  <si>
    <t>May 2026</t>
  </si>
  <si>
    <t>May property overhead was $1,450 above budget, a 5.0% increase. Available evidence does not establish a cause or ongoing treatment.</t>
  </si>
  <si>
    <t>Property-overhead spending</t>
  </si>
  <si>
    <t>UPD-2026-006 | 2026-06-30 | A modest May property-overhead increase remains under vendor-detail review; available records do not establish a definitive cause.</t>
  </si>
  <si>
    <t>Do not change the Phase 4 run rate without additional evidence.</t>
  </si>
  <si>
    <t>Request vendor invoice detail before assigning cause or forecast treatment.</t>
  </si>
  <si>
    <t>Contribution impact</t>
  </si>
  <si>
    <t>Actual Jan–Jun / Base RF1 Jul–Dec</t>
  </si>
  <si>
    <t>Case</t>
  </si>
  <si>
    <t>PALMETTO STAY | MANAGEMENT REVIEW</t>
  </si>
  <si>
    <t>Revenue volume</t>
  </si>
  <si>
    <t>Jan</t>
  </si>
  <si>
    <t>Feb</t>
  </si>
  <si>
    <t>H1 2026 actual performance vs approved budget | Information cutoff: July 8, 2026 | Synthetic case v1.0</t>
  </si>
  <si>
    <t>Rate</t>
  </si>
  <si>
    <t>Mar</t>
  </si>
  <si>
    <t>Housekeeping</t>
  </si>
  <si>
    <t>Apr</t>
  </si>
  <si>
    <t>H1 PERFORMANCE AT A GLANCE</t>
  </si>
  <si>
    <t>Guest services</t>
  </si>
  <si>
    <t>May</t>
  </si>
  <si>
    <t>Distribution</t>
  </si>
  <si>
    <t>Jun (A)</t>
  </si>
  <si>
    <t>Actual</t>
  </si>
  <si>
    <t>Fixed staff</t>
  </si>
  <si>
    <t>Jul (F)</t>
  </si>
  <si>
    <t>Overhead</t>
  </si>
  <si>
    <t>Aug</t>
  </si>
  <si>
    <t>Room revenue</t>
  </si>
  <si>
    <t>Sep</t>
  </si>
  <si>
    <t>Property contribution</t>
  </si>
  <si>
    <t>Oct</t>
  </si>
  <si>
    <t>Nov</t>
  </si>
  <si>
    <t>Dec</t>
  </si>
  <si>
    <t>MANAGEMENT READOUT</t>
  </si>
  <si>
    <t>H1 CONTRIBUTION IMPACT BY DRIVER ($000s)</t>
  </si>
  <si>
    <t>Demand, not rate, is the primary first-half issue. Lower occupied room nights drove most of the revenue miss, while a richer corporate mix also diluted the benefit of modestly favorable realized rates.</t>
  </si>
  <si>
    <t>Property operating contribution finished below plan. Lower revenue was the dominant pressure; housekeeping productivity and wage effects added cost headwinds despite favorable volume flexing.</t>
  </si>
  <si>
    <t>The marketing underspend is timing, not a structural saving. The deferred June activity is included once in September in every RF1 scenario, preserving service timing without double counting.</t>
  </si>
  <si>
    <t>The Base outlook assumes partial demand recovery and gradual housekeeping normalization. The unconfirmed May overhead item is not annualized; it remains a follow-up rather than a recurring forecast assumption.</t>
  </si>
  <si>
    <t>SUPPORTING OPERATING DRIVERS</t>
  </si>
  <si>
    <t>Read-through</t>
  </si>
  <si>
    <t>Demand shortfall</t>
  </si>
  <si>
    <t>Mix shifted corporate</t>
  </si>
  <si>
    <t>Near plan</t>
  </si>
  <si>
    <t>HK hours / occupied room</t>
  </si>
  <si>
    <t>Efficiency pressure</t>
  </si>
  <si>
    <t>BRIDGE RECONCILIATION | Positive impact is favorable</t>
  </si>
  <si>
    <t>HK effective wage / hour</t>
  </si>
  <si>
    <t>Structural wage step-up</t>
  </si>
  <si>
    <t>Impact</t>
  </si>
  <si>
    <t>Guest-service cost / room</t>
  </si>
  <si>
    <t>Slight unit-cost pressure</t>
  </si>
  <si>
    <t>YTD budget contribution</t>
  </si>
  <si>
    <t>Revenue — volume</t>
  </si>
  <si>
    <t>Revenue — customer mix</t>
  </si>
  <si>
    <t>Revenue — rate</t>
  </si>
  <si>
    <t>Housekeeping — volume</t>
  </si>
  <si>
    <t>Housekeeping — efficiency</t>
  </si>
  <si>
    <t>Housekeeping — wage rate</t>
  </si>
  <si>
    <t>Guest services — net</t>
  </si>
  <si>
    <t>Distribution fee</t>
  </si>
  <si>
    <t>Fixed staff — net</t>
  </si>
  <si>
    <t>Rent and overhead</t>
  </si>
  <si>
    <t>Marketing timing</t>
  </si>
  <si>
    <t>Recorded YTD contribution</t>
  </si>
  <si>
    <t>2026 RF1 OUTLOOK &amp; ACTIONS</t>
  </si>
  <si>
    <t>Palmetto Stay | Actuals: January–June | Forecast: July–December | Base is the working outlook; scenarios are unweighted decision-support cases</t>
  </si>
  <si>
    <t>FULL-YEAR BASE OUTLOOK</t>
  </si>
  <si>
    <t>SCENARIO RANGE | Full-year 2026</t>
  </si>
  <si>
    <t>Base vs budget</t>
  </si>
  <si>
    <t>Management view</t>
  </si>
  <si>
    <t>Contribution</t>
  </si>
  <si>
    <t>Margin</t>
  </si>
  <si>
    <t>Partial recovery</t>
  </si>
  <si>
    <t>H1 gap persists</t>
  </si>
  <si>
    <t>Below approved plan</t>
  </si>
  <si>
    <t>Margin remains compressed</t>
  </si>
  <si>
    <t>MONTHLY OCCUPANCY | Actual / forecast boundary is June–July</t>
  </si>
  <si>
    <t>FULL-YEAR CONTRIBUTION COMPARISON ($M)</t>
  </si>
  <si>
    <t>OUTLOOK &amp; MANAGEMENT IMPLICATIONS</t>
  </si>
  <si>
    <t>RISKS &amp; OPPORTUNITIES</t>
  </si>
  <si>
    <t>Base recovers from the first-half low point but does not regain the approved full-year plan. Even Upside remains below approved contribution, so the immediate goal is disciplined recovery rather than plan catch-up by assumption.</t>
  </si>
  <si>
    <t>Risk — Retail/leisure recovery remains the largest uncertainty. A slower H2 pickup would pressure both room revenue and flow-through.</t>
  </si>
  <si>
    <t>The range is asymmetric: persistent demand weakness and slower housekeeping normalization create more downside than the incremental benefit available in Upside. Scenario differences remain limited to visible operating drivers.</t>
  </si>
  <si>
    <t>Risk — Housekeeping productivity may normalize more slowly while the higher wage remains structural, increasing variable labor cost.</t>
  </si>
  <si>
    <t>Forecast accuracy cannot yet be evaluated because no later actuals exist. RF1 should be judged as a transparent decision baseline and refreshed only when new evidence becomes available.</t>
  </si>
  <si>
    <t>Opportunity — Corporate support and targeted September marketing can improve occupancy if pickup converts without sacrificing realized ADR.</t>
  </si>
  <si>
    <t>NEXT MANAGEMENT ACTIONS</t>
  </si>
  <si>
    <t>#</t>
  </si>
  <si>
    <t>Decision / follow-up</t>
  </si>
  <si>
    <t>Owner</t>
  </si>
  <si>
    <t>Evidence expected</t>
  </si>
  <si>
    <t>Track occupied room nights by segment against Base, Upside, and Downside; escalate sustained variance.</t>
  </si>
  <si>
    <t>GM / Commercial</t>
  </si>
  <si>
    <t>Weekly in H2</t>
  </si>
  <si>
    <t>Pickup by segment</t>
  </si>
  <si>
    <t>Review housekeeping hours per occupied room and loaded wage against the normalization path.</t>
  </si>
  <si>
    <t>Operations</t>
  </si>
  <si>
    <t>Weekly Jul–Sep</t>
  </si>
  <si>
    <t>Hours, rooms, payroll</t>
  </si>
  <si>
    <t>Confirm execution and invoice timing for the deferred marketing activity included in September.</t>
  </si>
  <si>
    <t>Marketing / Finance</t>
  </si>
  <si>
    <t>By September close</t>
  </si>
  <si>
    <t>Completed service and invoice</t>
  </si>
  <si>
    <t>Resolve the cause and recurrence risk of the unconfirmed May overhead item before the next RF update.</t>
  </si>
  <si>
    <t>Finance</t>
  </si>
  <si>
    <t>Before next RF</t>
  </si>
  <si>
    <t>Vendor / ledger support</t>
  </si>
  <si>
    <t>Synthetic portfolio case. Property operating contribution is a non-GAAP management measure defined in the project specification. See Checks before relying on the workbook.</t>
  </si>
  <si>
    <t>Checks read source, budget, variance, forecast, and review results. No other worksheet depends on this sheet.</t>
  </si>
  <si>
    <t>Source integrity</t>
  </si>
  <si>
    <t>Measured issues / difference</t>
  </si>
  <si>
    <t>Tolerance</t>
  </si>
  <si>
    <t>Status</t>
  </si>
  <si>
    <t>Basis</t>
  </si>
  <si>
    <t>Expected budget period</t>
  </si>
  <si>
    <t>Source occurrence count</t>
  </si>
  <si>
    <t>Expected source tables are populated</t>
  </si>
  <si>
    <t>Five static source ranges</t>
  </si>
  <si>
    <t>Approved budget assumption row count</t>
  </si>
  <si>
    <t>Expected 12</t>
  </si>
  <si>
    <t>Financial actual row count</t>
  </si>
  <si>
    <t>Expected 144</t>
  </si>
  <si>
    <t>Operating actual row count</t>
  </si>
  <si>
    <t>Expected 36</t>
  </si>
  <si>
    <t>Labor actual row count</t>
  </si>
  <si>
    <t>Expected 18</t>
  </si>
  <si>
    <t>Case update row count</t>
  </si>
  <si>
    <t>Expected 7</t>
  </si>
  <si>
    <t>Required source fields</t>
  </si>
  <si>
    <t>Exact required headers</t>
  </si>
  <si>
    <t>All versioned rows must equal v1.0</t>
  </si>
  <si>
    <t>Missing required source values</t>
  </si>
  <si>
    <t>No blanks in frozen source tables</t>
  </si>
  <si>
    <t>Twelve unique budget months</t>
  </si>
  <si>
    <t>Each expected month occurs once</t>
  </si>
  <si>
    <t>Budget month span</t>
  </si>
  <si>
    <t>January through December 2026</t>
  </si>
  <si>
    <t>100 rooms each month</t>
  </si>
  <si>
    <t>Approved distribution fee rate</t>
  </si>
  <si>
    <t>4.0% each month</t>
  </si>
  <si>
    <t>Duplicate budget periods</t>
  </si>
  <si>
    <t>No expected month may occur more than once</t>
  </si>
  <si>
    <t>Missing budget periods</t>
  </si>
  <si>
    <t>No expected month may be absent</t>
  </si>
  <si>
    <t>Operating model</t>
  </si>
  <si>
    <t>Retail</t>
  </si>
  <si>
    <t>Corporate</t>
  </si>
  <si>
    <t>Labor</t>
  </si>
  <si>
    <t>HK Payroll</t>
  </si>
  <si>
    <t>Fixed Staff</t>
  </si>
  <si>
    <t>Occupied room nights within capacity</t>
  </si>
  <si>
    <t>Monthly issue count</t>
  </si>
  <si>
    <t>Occupancy between 0% and 100%</t>
  </si>
  <si>
    <t>Corporate share between 0% and 100%</t>
  </si>
  <si>
    <t>Segment room nights reconcile</t>
  </si>
  <si>
    <t>Maximum absolute difference</t>
  </si>
  <si>
    <t>No negative room nights</t>
  </si>
  <si>
    <t>Segment revenue reconciles</t>
  </si>
  <si>
    <t>Maximum absolute difference ($)</t>
  </si>
  <si>
    <t>Cost model</t>
  </si>
  <si>
    <t>Hours × loaded wage</t>
  </si>
  <si>
    <t>Occupied nights × unit cost</t>
  </si>
  <si>
    <t>Distribution expense</t>
  </si>
  <si>
    <t>Revenue × approved fee rate</t>
  </si>
  <si>
    <t>FTE × loaded cost per FTE</t>
  </si>
  <si>
    <t>Required cost components</t>
  </si>
  <si>
    <t>Revenue less total operating costs</t>
  </si>
  <si>
    <t>Annual aggregation</t>
  </si>
  <si>
    <t>Monthly additive lines reconcile to FY2026</t>
  </si>
  <si>
    <t>Annual occupancy uses annual totals</t>
  </si>
  <si>
    <t>Annual occupied nights ÷ annual available nights</t>
  </si>
  <si>
    <t>Annual ADR and RevPAR use annual totals</t>
  </si>
  <si>
    <t>Weighted annual metrics</t>
  </si>
  <si>
    <t>Annual productivity and unit costs are weighted</t>
  </si>
  <si>
    <t>Annual numerators ÷ annual denominators</t>
  </si>
  <si>
    <t>Annual contribution margin uses annual totals</t>
  </si>
  <si>
    <t>Annual contribution ÷ annual revenue</t>
  </si>
  <si>
    <t>Workbook integrity</t>
  </si>
  <si>
    <t>Required worksheets exist</t>
  </si>
  <si>
    <t>Eight required visible worksheets</t>
  </si>
  <si>
    <t>Formula errors</t>
  </si>
  <si>
    <t>Verified after final recalculation</t>
  </si>
  <si>
    <t>External workbook links</t>
  </si>
  <si>
    <t>Verified by final package audit</t>
  </si>
  <si>
    <t>Hidden worksheets</t>
  </si>
  <si>
    <t>Macros</t>
  </si>
  <si>
    <t>Circular iteration</t>
  </si>
  <si>
    <t>Volatile formulas</t>
  </si>
  <si>
    <t>Verified by final formula audit</t>
  </si>
  <si>
    <t>Formulas outside Checks referencing Checks</t>
  </si>
  <si>
    <t>Budget references to actuals or later-phase tabs</t>
  </si>
  <si>
    <t>Phase 2 controls retained above. Phase 3 controls follow.</t>
  </si>
  <si>
    <t>Period and source scope</t>
  </si>
  <si>
    <t>Current actual scope is January–June 2026</t>
  </si>
  <si>
    <t>Twelve segment-month records across six months</t>
  </si>
  <si>
    <t>Prior-year scope is January–June 2025</t>
  </si>
  <si>
    <t>Twelve prior-year segment-month records</t>
  </si>
  <si>
    <t>No July–December 2026 actual is included</t>
  </si>
  <si>
    <t>No source actual after June 2026</t>
  </si>
  <si>
    <t>Required segment-month records are present</t>
  </si>
  <si>
    <t>Each segment occurs once per current month</t>
  </si>
  <si>
    <t>Required segment-month records are unique</t>
  </si>
  <si>
    <t>No duplicate current segment-month key</t>
  </si>
  <si>
    <t>Required financial account-month records are present</t>
  </si>
  <si>
    <t>Each required account occurs once per current month</t>
  </si>
  <si>
    <t>Required financial account-month records are unique</t>
  </si>
  <si>
    <t>No duplicate current financial account-month key</t>
  </si>
  <si>
    <t>Required labor records are present</t>
  </si>
  <si>
    <t>One labor record per current month</t>
  </si>
  <si>
    <t>Required labor records are unique</t>
  </si>
  <si>
    <t>No duplicate current labor month</t>
  </si>
  <si>
    <t>Analysis cutoff is displayed correctly</t>
  </si>
  <si>
    <t>July 8, 2026</t>
  </si>
  <si>
    <t>Actual reconstruction</t>
  </si>
  <si>
    <t>Segment occupied nights sum to total occupied nights</t>
  </si>
  <si>
    <t>Recorded segment nights only</t>
  </si>
  <si>
    <t>Segment revenue sums to total room revenue</t>
  </si>
  <si>
    <t>Recorded segment revenue only</t>
  </si>
  <si>
    <t>Operating revenue reconciles to financial actuals</t>
  </si>
  <si>
    <t>Operating source versus financial source</t>
  </si>
  <si>
    <t>Housekeeping payroll reconciles labor and financial sources</t>
  </si>
  <si>
    <t>Labor source versus financial source</t>
  </si>
  <si>
    <t>Fixed-staff payroll reconciles labor and financial sources</t>
  </si>
  <si>
    <t>Distribution expense equals 4% of actual revenue</t>
  </si>
  <si>
    <t>Recorded distribution expense versus fixed policy</t>
  </si>
  <si>
    <t>Actual operating costs reconcile to components</t>
  </si>
  <si>
    <t>All seven recorded cost lines</t>
  </si>
  <si>
    <t>Actual contribution equals revenue less costs</t>
  </si>
  <si>
    <t>Recorded revenue less actual costs</t>
  </si>
  <si>
    <t>Actual derived KPIs use recorded numerators and denominators</t>
  </si>
  <si>
    <t>YTD ratios recomputed from recorded facts</t>
  </si>
  <si>
    <t>January–June budget values tie to Budget</t>
  </si>
  <si>
    <t>Matched monthly links to approved Budget</t>
  </si>
  <si>
    <t>No approved-budget figure is independently hardcoded on Variance</t>
  </si>
  <si>
    <t>Actual-minus-budget amounts calculate correctly</t>
  </si>
  <si>
    <t>Revenue, contribution, and cost examples</t>
  </si>
  <si>
    <t>Percentage-point calculations are correct</t>
  </si>
  <si>
    <t>Occupancy, corporate share, and contribution margin</t>
  </si>
  <si>
    <t>YTD additive totals reconcile to monthly amounts</t>
  </si>
  <si>
    <t>Actual and budget YTD amounts</t>
  </si>
  <si>
    <t>YTD ratios use aggregate totals</t>
  </si>
  <si>
    <t>Aggregate numerators and denominators</t>
  </si>
  <si>
    <t>Bridge integrity</t>
  </si>
  <si>
    <t>Monthly revenue bridge residuals equal zero</t>
  </si>
  <si>
    <t>Monthly volume, mix, and rate effects</t>
  </si>
  <si>
    <t>YTD revenue bridge residual equals zero</t>
  </si>
  <si>
    <t>Sum of monthly effects</t>
  </si>
  <si>
    <t>Monthly housekeeping bridge residuals equal zero</t>
  </si>
  <si>
    <t>Monthly volume, efficiency, and wage effects</t>
  </si>
  <si>
    <t>YTD housekeeping bridge residual equals zero</t>
  </si>
  <si>
    <t>Monthly guest-service bridge residuals equal zero</t>
  </si>
  <si>
    <t>Monthly volume and unit-cost effects</t>
  </si>
  <si>
    <t>YTD guest-service bridge residual equals zero</t>
  </si>
  <si>
    <t>Monthly fixed-staff bridge residuals equal zero</t>
  </si>
  <si>
    <t>Monthly FTE and rate effects</t>
  </si>
  <si>
    <t>YTD fixed-staff bridge residual equals zero</t>
  </si>
  <si>
    <t>Distribution-fee linkage reconciles</t>
  </si>
  <si>
    <t>Distribution cost change equals 4% of revenue variance</t>
  </si>
  <si>
    <t>Contribution bridge reconciles to actual contribution</t>
  </si>
  <si>
    <t>Budget contribution plus all driver impacts</t>
  </si>
  <si>
    <t>Cost-change and contribution-impact signs are inverted</t>
  </si>
  <si>
    <t>Expense effects reversed in contribution bridge</t>
  </si>
  <si>
    <t>Workbook architecture</t>
  </si>
  <si>
    <t>Exactly eight visible sheets remain in locked order</t>
  </si>
  <si>
    <t>Circular calculation</t>
  </si>
  <si>
    <t>Budget remains independent of new analysis</t>
  </si>
  <si>
    <t>Forecast contains no forecast output</t>
  </si>
  <si>
    <t>Verified by final workbook audit</t>
  </si>
  <si>
    <t>Review contains no management output</t>
  </si>
  <si>
    <t>Verified by final recalculation and formula scan</t>
  </si>
  <si>
    <t>Phase 2 and Phase 3 controls retained above. Phase 4 controls follow.</t>
  </si>
  <si>
    <t>Forecast boundary</t>
  </si>
  <si>
    <t>Actual-through month is June 2026</t>
  </si>
  <si>
    <t>Visible forecast control</t>
  </si>
  <si>
    <t>Forecast starts in July 2026</t>
  </si>
  <si>
    <t>Forecast ends in December 2026</t>
  </si>
  <si>
    <t>No month is missing or duplicated</t>
  </si>
  <si>
    <t>Expected month sequence and aligned blocks</t>
  </si>
  <si>
    <t>All three cases contain exactly 12 months</t>
  </si>
  <si>
    <t>Twelve numeric month headers per case</t>
  </si>
  <si>
    <t>No post-June value is labeled Actual</t>
  </si>
  <si>
    <t>A/F period labels</t>
  </si>
  <si>
    <t>No pre-July value is driven by scenario assumptions</t>
  </si>
  <si>
    <t>Actualization</t>
  </si>
  <si>
    <t>Base January–June actuals tie to recorded Data</t>
  </si>
  <si>
    <t>Recorded segment nights and revenue</t>
  </si>
  <si>
    <t>Base January–June actuals tie to Phase 3</t>
  </si>
  <si>
    <t>Phase 3 YTD recorded actual totals</t>
  </si>
  <si>
    <t>Upside January–June equals Base</t>
  </si>
  <si>
    <t>Linked Base actual period</t>
  </si>
  <si>
    <t>Downside January–June equals Base</t>
  </si>
  <si>
    <t>Actual costs remain recorded facts</t>
  </si>
  <si>
    <t>Labor facts rather than forecast reconstruction</t>
  </si>
  <si>
    <t>Actual-period derived KPIs reconcile</t>
  </si>
  <si>
    <t>January and June actual numerators and denominators</t>
  </si>
  <si>
    <t>Actual formulas do not use forecast assumptions</t>
  </si>
  <si>
    <t>Forecast assumptions</t>
  </si>
  <si>
    <t>Every required July–December Base input is present</t>
  </si>
  <si>
    <t>Fourteen required Base drivers across six months</t>
  </si>
  <si>
    <t>Every Base assumption has a visible basis and source</t>
  </si>
  <si>
    <t>Basis type and source / update columns</t>
  </si>
  <si>
    <t>Every changed assumption group has a visible rationale</t>
  </si>
  <si>
    <t>Nine concise rationale groups</t>
  </si>
  <si>
    <t>Scenario inputs are complete</t>
  </si>
  <si>
    <t>Five scenario-sensitive drivers in each case</t>
  </si>
  <si>
    <t>Scenario changes are restricted to authorized drivers</t>
  </si>
  <si>
    <t>Verified by final assumption and formula audit</t>
  </si>
  <si>
    <t>Fee rate is 4% in all cases</t>
  </si>
  <si>
    <t>Locked distribution policy</t>
  </si>
  <si>
    <t>Occupancy remains within 0%–100%</t>
  </si>
  <si>
    <t>Monthly scenario occupancy</t>
  </si>
  <si>
    <t>Occupied room nights do not exceed capacity</t>
  </si>
  <si>
    <t>Monthly capacity ceiling</t>
  </si>
  <si>
    <t>No negative volumes, rates, hours, or expenses exist</t>
  </si>
  <si>
    <t>Scenario operating-model ranges</t>
  </si>
  <si>
    <t>Known updates</t>
  </si>
  <si>
    <t>Post-April housekeeping wage persists</t>
  </si>
  <si>
    <t>Base housekeeping productivity follows documented path</t>
  </si>
  <si>
    <t>UPD-2026-004 and visible Base path</t>
  </si>
  <si>
    <t>Deferred June marketing is included in September</t>
  </si>
  <si>
    <t>UPD-2026-005; budget September plus $18,000</t>
  </si>
  <si>
    <t>Deferred marketing is not double counted</t>
  </si>
  <si>
    <t>H1 actual plus H2 budget and one deferred activity</t>
  </si>
  <si>
    <t>Unconfirmed overhead is not mechanically annualized</t>
  </si>
  <si>
    <t>UPD-2026-006; H2 retains approved baseline</t>
  </si>
  <si>
    <t>Financial mechanics</t>
  </si>
  <si>
    <t>Segment revenue sums to total revenue</t>
  </si>
  <si>
    <t>Monthly retail plus corporate revenue</t>
  </si>
  <si>
    <t>Housekeeping hours reconcile</t>
  </si>
  <si>
    <t>Forecast-period volume times productivity</t>
  </si>
  <si>
    <t>Housekeeping payroll reconciles</t>
  </si>
  <si>
    <t>Forecast-period hours times wage</t>
  </si>
  <si>
    <t>Guest-service expense reconciles</t>
  </si>
  <si>
    <t>Forecast-period volume times unit cost</t>
  </si>
  <si>
    <t>Distribution expense equals 4% of revenue</t>
  </si>
  <si>
    <t>Forecast-period revenue times fee rate</t>
  </si>
  <si>
    <t>Fixed-staff payroll reconciles</t>
  </si>
  <si>
    <t>Forecast-period FTE times loaded cost</t>
  </si>
  <si>
    <t>Total operating costs reconcile</t>
  </si>
  <si>
    <t>All required positive cost lines</t>
  </si>
  <si>
    <t>Contribution equals revenue less costs</t>
  </si>
  <si>
    <t>Monthly scenario contribution</t>
  </si>
  <si>
    <t>Contribution margin reconciles</t>
  </si>
  <si>
    <t>Monthly contribution divided by revenue</t>
  </si>
  <si>
    <t>FY2026 equals H1 actual plus H2 forecast</t>
  </si>
  <si>
    <t>Annual additive rows</t>
  </si>
  <si>
    <t>Annual ratios use aggregate totals</t>
  </si>
  <si>
    <t>Annual numerators and denominators</t>
  </si>
  <si>
    <t>Full-year comparison ties to approved Budget</t>
  </si>
  <si>
    <t>Approved FY2026 Budget links</t>
  </si>
  <si>
    <t>Scenario logic</t>
  </si>
  <si>
    <t>Upside and Downside differ from Base only in July–December</t>
  </si>
  <si>
    <t>Identical linked H1 actuals</t>
  </si>
  <si>
    <t>Upside revenue ≥ Base revenue ≥ Downside revenue</t>
  </si>
  <si>
    <t>Full-year scenario ordering</t>
  </si>
  <si>
    <t>Upside contribution ≥ Base contribution ≥ Downside contribution</t>
  </si>
  <si>
    <t>Scenario summary ties to detailed blocks</t>
  </si>
  <si>
    <t>Summary-to-detail links</t>
  </si>
  <si>
    <t>Scenario differences trace to visible operating drivers</t>
  </si>
  <si>
    <t>Verified by final formula and assumption audit</t>
  </si>
  <si>
    <t>No probability weighting is present</t>
  </si>
  <si>
    <t>Verified by final formula and label audit</t>
  </si>
  <si>
    <t>Architecture</t>
  </si>
  <si>
    <t>No output depends on Checks</t>
  </si>
  <si>
    <t>Budget remains unchanged</t>
  </si>
  <si>
    <t>Verified by protected-range comparison</t>
  </si>
  <si>
    <t>Phase 3 Variance remains intact</t>
  </si>
  <si>
    <t>Review is completed and formula-linked</t>
  </si>
  <si>
    <t>Verified by final formula and visual audit</t>
  </si>
  <si>
    <t>Exactly three Review charts and no unexpected drawings or media</t>
  </si>
  <si>
    <t>Verified by final drawing and package audit</t>
  </si>
  <si>
    <t>Phase 5 — management review and output controls</t>
  </si>
  <si>
    <t>Control</t>
  </si>
  <si>
    <t>H1 occupancy KPI ties to Variance</t>
  </si>
  <si>
    <t>Displayed KPI strip</t>
  </si>
  <si>
    <t>H1 revenue KPI ties to Variance</t>
  </si>
  <si>
    <t>H1 contribution KPI ties to Variance</t>
  </si>
  <si>
    <t>H1 margin KPI ties to Variance</t>
  </si>
  <si>
    <t>Supporting operating-driver table ties</t>
  </si>
  <si>
    <t>Displayed driver table</t>
  </si>
  <si>
    <t>Contribution bridge components tie</t>
  </si>
  <si>
    <t>Formula-linked management bridge</t>
  </si>
  <si>
    <t>Contribution bridge reconciles start to end</t>
  </si>
  <si>
    <t>Budget plus impacts equals recorded actual</t>
  </si>
  <si>
    <t>FY Base outlook strip ties to Forecast</t>
  </si>
  <si>
    <t>Displayed FY outlook strip</t>
  </si>
  <si>
    <t>Budget scenario row ties</t>
  </si>
  <si>
    <t>Scenario comparison</t>
  </si>
  <si>
    <t>Base scenario row ties</t>
  </si>
  <si>
    <t>Upside scenario row ties</t>
  </si>
  <si>
    <t>Downside scenario row ties</t>
  </si>
  <si>
    <t>Occupancy chart budget series ties</t>
  </si>
  <si>
    <t>Chart helper formulas</t>
  </si>
  <si>
    <t>Occupancy chart actual and RF1 series tie</t>
  </si>
  <si>
    <t>Explicit June–July A/F boundary</t>
  </si>
  <si>
    <t>FY contribution chart series ties</t>
  </si>
  <si>
    <t>Contribution-impact chart series ties</t>
  </si>
  <si>
    <t>Exactly three decision-useful Review charts</t>
  </si>
  <si>
    <t>Verified by final drawing audit</t>
  </si>
  <si>
    <t>Review formulas do not reference Checks</t>
  </si>
  <si>
    <t>No duplicated key management hardcodes</t>
  </si>
  <si>
    <t>Verified by formula-link and narrative audit</t>
  </si>
  <si>
    <t>Review is configured as two landscape pages</t>
  </si>
  <si>
    <t>Verified in native Excel page setup</t>
  </si>
  <si>
    <t>Final management PDF contains exactly two pages</t>
  </si>
  <si>
    <t>Verified after direct workbook export</t>
  </si>
  <si>
    <t>PDF values agree with workbook Review</t>
  </si>
  <si>
    <t>Verified by PDF text and visual inspection</t>
  </si>
  <si>
    <t>Two PNGs are derived from final PDF pages</t>
  </si>
  <si>
    <t>Verified by rendered output hashes and dimensions</t>
  </si>
  <si>
    <t>README links workbook, PDF, and both page images</t>
  </si>
  <si>
    <t>Verified by repository review</t>
  </si>
  <si>
    <t>Management follow-ups do not exceed four</t>
  </si>
  <si>
    <t>Four numbered actions</t>
  </si>
  <si>
    <t>Forecast-accuracy limitation is explicit</t>
  </si>
  <si>
    <t>Verified by Review narrative</t>
  </si>
  <si>
    <t>Approved Budget is preserved</t>
  </si>
  <si>
    <t>Phase 3 Variance is preserved</t>
  </si>
  <si>
    <t>Phase 4 Forecast and frozen assumptions are preserved</t>
  </si>
  <si>
    <t>Public output package contains no unexpected artifacts</t>
  </si>
  <si>
    <t>Verified by final inventory</t>
  </si>
  <si>
    <t>Formula-error scan is clean</t>
  </si>
  <si>
    <t>Exactly eight visible sheets remain and Start opens first</t>
  </si>
  <si>
    <t>Palmetto Stay — Portfolio Release v1.0</t>
  </si>
  <si>
    <t>Review recorded actuals and the approved budget, analyze first-half performance, and evaluate the 2026 RF1 Base, Upside, and Downside outlooks.</t>
  </si>
  <si>
    <t>Portfolio Release v1.0 — independently validated within the project scope; actuals through June 2026; RF1 dated July 8, 2026.</t>
  </si>
  <si>
    <t>Portfolio release status</t>
  </si>
  <si>
    <t>Validated</t>
  </si>
  <si>
    <t>Portfolio Release v1.0 is complete: Budget, Variance, Forecast, Review, and all 179 terminal Checks are validated within the project scope.</t>
  </si>
  <si>
    <t>Portfolio Release v1.0 validation checks</t>
  </si>
  <si>
    <t>Master Portfolio Release status</t>
  </si>
  <si>
    <t>Start identifies Portfolio Release v1.0 completion</t>
  </si>
  <si>
    <t>Verified after independent audit by rendered and cell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</si>
</sst>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mm/dd/yy"/>
    <numFmt numFmtId="165" formatCode="&quot;$&quot;#,##0.00;\(&quot;$&quot;#,##0.00\);\-"/>
    <numFmt numFmtId="166" formatCode="0.0"/>
    <numFmt numFmtId="167" formatCode="0.0%"/>
    <numFmt numFmtId="168" formatCode="&quot;$&quot;#,##0.00"/>
    <numFmt numFmtId="169" formatCode="#,##0;\(#,##0\);\-"/>
    <numFmt numFmtId="170" formatCode="#,##0.0;\(#,##0.0\);\-"/>
    <numFmt numFmtId="171" formatCode="&quot;$&quot;#,##0;\(&quot;$&quot;#,##0\);\-"/>
    <numFmt numFmtId="172" formatCode="mmm\ d\,\ yyyy"/>
    <numFmt numFmtId="173" formatCode="0.0\ &quot;pp&quot;"/>
    <numFmt numFmtId="174" formatCode="#,##0.0"/>
    <numFmt numFmtId="175" formatCode="0.0000000"/>
    <numFmt numFmtId="176" formatCode="\$#,##0;\(\$#,##0\);\-"/>
    <numFmt numFmtId="177" formatCode="\$#,##0.00"/>
    <numFmt numFmtId="178" formatCode="\$#,##0;[Red]\(\$#,##0\);\-"/>
    <numFmt numFmtId="179" formatCode="#,##0;[Red]\(#,##0\);\-"/>
    <numFmt numFmtId="180" formatCode="\$0.00;[Red]\(\$0.00\);\-"/>
    <numFmt numFmtId="181" formatCode="0.000;[Red]\(0.000\);\-"/>
    <numFmt numFmtId="182" formatCode="\$#,##0"/>
    <numFmt numFmtId="183" formatCode="0.0000"/>
  </numFmts>
  <fonts count="32">
    <font>
      <sz val="11"/>
      <name val="Carlito"/>
    </font>
    <font>
      <sz val="10"/>
      <color rgb="FF1F2937"/>
      <name val="Arial"/>
    </font>
    <font>
      <b/>
      <sz val="15"/>
      <color rgb="FF17365D"/>
      <name val="Arial"/>
    </font>
    <font>
      <b/>
      <sz val="10"/>
      <color rgb="FF17365D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  <font>
      <i/>
      <sz val="10"/>
      <color rgb="FF667085"/>
      <name val="Arial"/>
    </font>
    <font>
      <i/>
      <sz val="9"/>
      <color rgb="FF667085"/>
      <name val="Arial"/>
    </font>
    <font>
      <b/>
      <sz val="10"/>
      <color rgb="FF1F2937"/>
      <name val="Arial"/>
    </font>
    <font>
      <i/>
      <sz val="10"/>
      <color rgb="FF1F2937"/>
      <name val="Arial"/>
    </font>
    <font>
      <b/>
      <i/>
      <sz val="10"/>
      <color rgb="FF1F2937"/>
      <name val="Arial"/>
    </font>
    <font>
      <sz val="10"/>
      <color rgb="FF008000"/>
      <name val="Arial"/>
    </font>
    <font>
      <i/>
      <sz val="10"/>
      <color rgb="FF008000"/>
      <name val="Arial"/>
    </font>
    <font>
      <b/>
      <sz val="11"/>
      <color rgb="FF17365D"/>
      <name val="Arial"/>
    </font>
    <font>
      <sz val="10"/>
      <color rgb="FF303846"/>
      <name val="Arial"/>
    </font>
    <font>
      <b/>
      <sz val="14"/>
      <color rgb="FF17365D"/>
      <name val="Arial"/>
    </font>
    <font>
      <i/>
      <sz val="10"/>
      <color rgb="FF303846"/>
      <name val="Arial"/>
    </font>
    <font>
      <b/>
      <sz val="10"/>
      <color rgb="FF303846"/>
      <name val="Arial"/>
    </font>
    <font>
      <b/>
      <sz val="10"/>
      <color rgb="FF008000"/>
      <name val="Arial"/>
    </font>
    <font>
      <b/>
      <i/>
      <sz val="10"/>
      <color rgb="FF303846"/>
      <name val="Arial"/>
    </font>
    <font>
      <b/>
      <i/>
      <sz val="10"/>
      <color rgb="FF008000"/>
      <name val="Arial"/>
    </font>
    <font>
      <b/>
      <sz val="9"/>
      <color rgb="FFFFFFFF"/>
      <name val="Arial"/>
    </font>
    <font>
      <i/>
      <sz val="10"/>
      <color rgb="FF5B6573"/>
      <name val="Arial"/>
    </font>
    <font>
      <b/>
      <sz val="16"/>
      <color rgb="FF17365D"/>
      <name val="Arial"/>
    </font>
    <font>
      <sz val="9"/>
      <color rgb="FF23313F"/>
      <name val="Arial"/>
    </font>
    <font>
      <b/>
      <sz val="20"/>
      <color rgb="FFFFFFFF"/>
      <name val="Arial"/>
    </font>
    <font>
      <i/>
      <sz val="9"/>
      <color rgb="FF17365D"/>
      <name val="Arial"/>
    </font>
    <font>
      <b/>
      <sz val="9"/>
      <color rgb="FF23313F"/>
      <name val="Arial"/>
    </font>
    <font>
      <sz val="8"/>
      <color rgb="FF66717D"/>
      <name val="Arial"/>
    </font>
    <font>
      <b/>
      <sz val="9"/>
      <color rgb="FF17365D"/>
      <name val="Arial"/>
    </font>
    <font>
      <i/>
      <sz val="8"/>
      <color rgb="FF5B6570"/>
      <name val="Arial"/>
    </font>
  </fonts>
  <fills count="22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D9EAF0"/>
      </patternFill>
    </fill>
    <fill>
      <patternFill patternType="solid">
        <fgColor rgb="FFF2F2F2"/>
      </patternFill>
    </fill>
    <fill>
      <patternFill patternType="solid">
        <fgColor rgb="FFD9EAF1"/>
      </patternFill>
    </fill>
    <fill>
      <patternFill patternType="solid">
        <fgColor rgb="FFD9EAF1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2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2F75B5"/>
      </patternFill>
    </fill>
    <fill>
      <patternFill patternType="solid">
        <fgColor rgb="FFF3F5F7"/>
      </patternFill>
    </fill>
    <fill>
      <patternFill patternType="solid">
        <fgColor rgb="FFE8F3F2"/>
      </patternFill>
    </fill>
    <fill>
      <patternFill patternType="solid">
        <fgColor rgb="FFFCE8E6"/>
      </patternFill>
    </fill>
    <fill>
      <patternFill patternType="solid">
        <fgColor rgb="FFEAF4E3"/>
      </patternFill>
    </fill>
  </fills>
  <borders count="41">
    <border>
      <left/>
      <right/>
      <top/>
      <bottom/>
      <diagonal/>
    </border>
    <border>
      <left style="medium">
        <color rgb="FFD6B656"/>
      </left>
      <right/>
      <top style="medium">
        <color rgb="FFD6B656"/>
      </top>
      <bottom/>
      <diagonal/>
    </border>
    <border>
      <left/>
      <right/>
      <top style="medium">
        <color rgb="FFD6B656"/>
      </top>
      <bottom/>
      <diagonal/>
    </border>
    <border>
      <left/>
      <right style="medium">
        <color rgb="FFD6B656"/>
      </right>
      <top style="medium">
        <color rgb="FFD6B656"/>
      </top>
      <bottom/>
      <diagonal/>
    </border>
    <border>
      <left style="medium">
        <color rgb="FFD6B656"/>
      </left>
      <right/>
      <top/>
      <bottom style="medium">
        <color rgb="FFD6B656"/>
      </bottom>
      <diagonal/>
    </border>
    <border>
      <left/>
      <right/>
      <top/>
      <bottom style="medium">
        <color rgb="FFD6B656"/>
      </bottom>
      <diagonal/>
    </border>
    <border>
      <left/>
      <right style="medium">
        <color rgb="FFD6B656"/>
      </right>
      <top/>
      <bottom style="medium">
        <color rgb="FFD6B656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7C3D0"/>
      </bottom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/>
      <top/>
      <bottom style="thin">
        <color rgb="FF17365D"/>
      </bottom>
      <diagonal/>
    </border>
    <border>
      <left/>
      <right/>
      <top/>
      <bottom style="double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/>
      <right/>
      <top style="thin">
        <color rgb="FFD9E2F3"/>
      </top>
      <bottom/>
      <diagonal/>
    </border>
    <border>
      <left style="thin">
        <color rgb="FFB4C7DC"/>
      </left>
      <right/>
      <top style="thin">
        <color rgb="FFB4C7DC"/>
      </top>
      <bottom style="thin">
        <color rgb="FFB4C7DC"/>
      </bottom>
      <diagonal/>
    </border>
    <border>
      <left/>
      <right/>
      <top style="thin">
        <color rgb="FFB4C7DC"/>
      </top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 style="thin">
        <color rgb="FFB4C7D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6E0EB"/>
      </bottom>
      <diagonal/>
    </border>
    <border>
      <left/>
      <right/>
      <top style="thin">
        <color rgb="FFD6E0EB"/>
      </top>
      <bottom style="thin">
        <color rgb="FFD6E0EB"/>
      </bottom>
      <diagonal/>
    </border>
    <border>
      <left/>
      <right/>
      <top style="thin">
        <color rgb="FFD6E0EB"/>
      </top>
      <bottom style="thin">
        <color rgb="FFB4C7DC"/>
      </bottom>
      <diagonal/>
    </border>
    <border>
      <left/>
      <right/>
      <top/>
      <bottom style="thin">
        <color rgb="FFB4C7DC"/>
      </bottom>
      <diagonal/>
    </border>
    <border>
      <left/>
      <right/>
      <top style="thin">
        <color rgb="FF17365D"/>
      </top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C9D2DC"/>
      </left>
      <right/>
      <top style="thin">
        <color rgb="FFC9D2DC"/>
      </top>
      <bottom/>
      <diagonal/>
    </border>
    <border>
      <left/>
      <right/>
      <top style="thin">
        <color rgb="FFC9D2DC"/>
      </top>
      <bottom/>
      <diagonal/>
    </border>
    <border>
      <left/>
      <right style="thin">
        <color rgb="FFC9D2DC"/>
      </right>
      <top style="thin">
        <color rgb="FFC9D2DC"/>
      </top>
      <bottom/>
      <diagonal/>
    </border>
    <border>
      <left style="thin">
        <color rgb="FFC9D2DC"/>
      </left>
      <right/>
      <top/>
      <bottom/>
      <diagonal/>
    </border>
    <border>
      <left/>
      <right style="thin">
        <color rgb="FFC9D2DC"/>
      </right>
      <top/>
      <bottom/>
      <diagonal/>
    </border>
    <border>
      <left style="thin">
        <color rgb="FFC9D2DC"/>
      </left>
      <right/>
      <top/>
      <bottom style="thin">
        <color rgb="FFC9D2DC"/>
      </bottom>
      <diagonal/>
    </border>
    <border>
      <left/>
      <right/>
      <top/>
      <bottom style="thin">
        <color rgb="FFC9D2DC"/>
      </bottom>
      <diagonal/>
    </border>
    <border>
      <left/>
      <right style="thin">
        <color rgb="FFC9D2DC"/>
      </right>
      <top/>
      <bottom style="thin">
        <color rgb="FFC9D2DC"/>
      </bottom>
      <diagonal/>
    </border>
  </borders>
  <cellStyleXfs count="1">
    <xf numFmtId="0" fontId="0" fillId="0" borderId="0"/>
  </cellStyleXfs>
  <cellXfs count="32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164" fontId="1" fillId="4" borderId="8" xfId="0" applyNumberFormat="1" applyFont="1" applyFill="1" applyBorder="1" applyAlignment="1">
      <alignment vertical="center"/>
    </xf>
    <xf numFmtId="164" fontId="1" fillId="4" borderId="9" xfId="0" applyNumberFormat="1" applyFont="1" applyFill="1" applyBorder="1" applyAlignment="1">
      <alignment vertical="center"/>
    </xf>
    <xf numFmtId="165" fontId="1" fillId="4" borderId="8" xfId="0" applyNumberFormat="1" applyFont="1" applyFill="1" applyBorder="1" applyAlignment="1">
      <alignment vertical="center"/>
    </xf>
    <xf numFmtId="165" fontId="1" fillId="4" borderId="9" xfId="0" applyNumberFormat="1" applyFont="1" applyFill="1" applyBorder="1" applyAlignment="1">
      <alignment vertical="center"/>
    </xf>
    <xf numFmtId="3" fontId="1" fillId="4" borderId="8" xfId="0" applyNumberFormat="1" applyFont="1" applyFill="1" applyBorder="1" applyAlignment="1">
      <alignment vertical="center"/>
    </xf>
    <xf numFmtId="3" fontId="1" fillId="4" borderId="9" xfId="0" applyNumberFormat="1" applyFont="1" applyFill="1" applyBorder="1" applyAlignment="1">
      <alignment vertical="center"/>
    </xf>
    <xf numFmtId="4" fontId="1" fillId="4" borderId="8" xfId="0" applyNumberFormat="1" applyFont="1" applyFill="1" applyBorder="1" applyAlignment="1">
      <alignment vertical="center"/>
    </xf>
    <xf numFmtId="4" fontId="1" fillId="4" borderId="9" xfId="0" applyNumberFormat="1" applyFont="1" applyFill="1" applyBorder="1" applyAlignment="1">
      <alignment vertical="center"/>
    </xf>
    <xf numFmtId="166" fontId="1" fillId="4" borderId="8" xfId="0" applyNumberFormat="1" applyFont="1" applyFill="1" applyBorder="1" applyAlignment="1">
      <alignment vertical="center"/>
    </xf>
    <xf numFmtId="166" fontId="1" fillId="4" borderId="9" xfId="0" applyNumberFormat="1" applyFont="1" applyFill="1" applyBorder="1" applyAlignment="1">
      <alignment vertical="center"/>
    </xf>
    <xf numFmtId="0" fontId="1" fillId="4" borderId="8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3" fontId="5" fillId="2" borderId="8" xfId="0" applyNumberFormat="1" applyFont="1" applyFill="1" applyBorder="1" applyAlignment="1">
      <alignment vertical="center"/>
    </xf>
    <xf numFmtId="3" fontId="5" fillId="2" borderId="9" xfId="0" applyNumberFormat="1" applyFont="1" applyFill="1" applyBorder="1" applyAlignment="1">
      <alignment vertical="center"/>
    </xf>
    <xf numFmtId="167" fontId="5" fillId="2" borderId="8" xfId="0" applyNumberFormat="1" applyFont="1" applyFill="1" applyBorder="1" applyAlignment="1">
      <alignment vertical="center"/>
    </xf>
    <xf numFmtId="167" fontId="5" fillId="2" borderId="9" xfId="0" applyNumberFormat="1" applyFont="1" applyFill="1" applyBorder="1" applyAlignment="1">
      <alignment vertical="center"/>
    </xf>
    <xf numFmtId="168" fontId="5" fillId="2" borderId="8" xfId="0" applyNumberFormat="1" applyFont="1" applyFill="1" applyBorder="1" applyAlignment="1">
      <alignment vertical="center"/>
    </xf>
    <xf numFmtId="168" fontId="5" fillId="2" borderId="9" xfId="0" applyNumberFormat="1" applyFont="1" applyFill="1" applyBorder="1" applyAlignment="1">
      <alignment vertical="center"/>
    </xf>
    <xf numFmtId="2" fontId="5" fillId="2" borderId="8" xfId="0" applyNumberFormat="1" applyFont="1" applyFill="1" applyBorder="1" applyAlignment="1">
      <alignment vertical="center"/>
    </xf>
    <xf numFmtId="2" fontId="5" fillId="2" borderId="9" xfId="0" applyNumberFormat="1" applyFont="1" applyFill="1" applyBorder="1" applyAlignment="1">
      <alignment vertical="center"/>
    </xf>
    <xf numFmtId="166" fontId="5" fillId="2" borderId="8" xfId="0" applyNumberFormat="1" applyFont="1" applyFill="1" applyBorder="1" applyAlignment="1">
      <alignment vertical="center"/>
    </xf>
    <xf numFmtId="166" fontId="5" fillId="2" borderId="9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" fontId="4" fillId="3" borderId="1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3" fillId="5" borderId="13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15" xfId="0" applyFont="1" applyFill="1" applyBorder="1" applyAlignment="1">
      <alignment vertical="center"/>
    </xf>
    <xf numFmtId="0" fontId="9" fillId="5" borderId="15" xfId="0" applyFont="1" applyFill="1" applyBorder="1" applyAlignment="1">
      <alignment vertical="center"/>
    </xf>
    <xf numFmtId="169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70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7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vertical="center"/>
    </xf>
    <xf numFmtId="171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7" fontId="11" fillId="0" borderId="0" xfId="0" applyNumberFormat="1" applyFont="1" applyAlignment="1">
      <alignment vertical="center"/>
    </xf>
    <xf numFmtId="169" fontId="12" fillId="0" borderId="0" xfId="0" applyNumberFormat="1" applyFont="1" applyAlignment="1">
      <alignment vertical="center"/>
    </xf>
    <xf numFmtId="167" fontId="13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171" fontId="12" fillId="0" borderId="0" xfId="0" applyNumberFormat="1" applyFont="1" applyAlignment="1">
      <alignment vertical="center"/>
    </xf>
    <xf numFmtId="0" fontId="9" fillId="0" borderId="16" xfId="0" applyFont="1" applyBorder="1" applyAlignment="1">
      <alignment vertical="center"/>
    </xf>
    <xf numFmtId="171" fontId="9" fillId="0" borderId="16" xfId="0" applyNumberFormat="1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171" fontId="9" fillId="0" borderId="17" xfId="0" applyNumberFormat="1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7" xfId="0" applyFont="1" applyBorder="1" applyAlignment="1">
      <alignment vertical="center" wrapText="1"/>
    </xf>
    <xf numFmtId="0" fontId="14" fillId="6" borderId="18" xfId="0" applyFont="1" applyFill="1" applyBorder="1" applyAlignment="1">
      <alignment vertical="center"/>
    </xf>
    <xf numFmtId="0" fontId="14" fillId="6" borderId="19" xfId="0" applyFont="1" applyFill="1" applyBorder="1" applyAlignment="1">
      <alignment vertical="center"/>
    </xf>
    <xf numFmtId="0" fontId="3" fillId="5" borderId="13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7" fontId="1" fillId="0" borderId="0" xfId="0" applyNumberFormat="1" applyFont="1" applyAlignment="1">
      <alignment vertical="center"/>
    </xf>
    <xf numFmtId="2" fontId="1" fillId="0" borderId="7" xfId="0" applyNumberFormat="1" applyFont="1" applyBorder="1" applyAlignment="1">
      <alignment vertical="center"/>
    </xf>
    <xf numFmtId="2" fontId="1" fillId="0" borderId="8" xfId="0" applyNumberFormat="1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3" fillId="5" borderId="8" xfId="0" applyFont="1" applyFill="1" applyBorder="1" applyAlignment="1">
      <alignment vertical="center" wrapText="1"/>
    </xf>
    <xf numFmtId="2" fontId="3" fillId="5" borderId="8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vertical="center"/>
    </xf>
    <xf numFmtId="2" fontId="1" fillId="0" borderId="20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172" fontId="1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16" xfId="0" applyFont="1" applyBorder="1" applyAlignment="1">
      <alignment vertical="center"/>
    </xf>
    <xf numFmtId="0" fontId="3" fillId="7" borderId="21" xfId="0" applyFont="1" applyFill="1" applyBorder="1" applyAlignment="1">
      <alignment vertical="center"/>
    </xf>
    <xf numFmtId="0" fontId="3" fillId="7" borderId="22" xfId="0" applyFont="1" applyFill="1" applyBorder="1" applyAlignment="1">
      <alignment vertical="center"/>
    </xf>
    <xf numFmtId="0" fontId="3" fillId="7" borderId="23" xfId="0" applyFont="1" applyFill="1" applyBorder="1" applyAlignment="1">
      <alignment vertical="center"/>
    </xf>
    <xf numFmtId="172" fontId="15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174" fontId="6" fillId="0" borderId="0" xfId="0" applyNumberFormat="1" applyFont="1" applyAlignment="1">
      <alignment vertical="center"/>
    </xf>
    <xf numFmtId="0" fontId="15" fillId="0" borderId="27" xfId="0" applyFont="1" applyBorder="1" applyAlignment="1">
      <alignment vertical="center"/>
    </xf>
    <xf numFmtId="3" fontId="6" fillId="0" borderId="27" xfId="0" applyNumberFormat="1" applyFont="1" applyBorder="1" applyAlignment="1">
      <alignment vertical="center"/>
    </xf>
    <xf numFmtId="3" fontId="15" fillId="0" borderId="27" xfId="0" applyNumberFormat="1" applyFont="1" applyBorder="1" applyAlignment="1">
      <alignment vertical="center"/>
    </xf>
    <xf numFmtId="0" fontId="15" fillId="0" borderId="28" xfId="0" applyFont="1" applyBorder="1" applyAlignment="1">
      <alignment vertical="center"/>
    </xf>
    <xf numFmtId="3" fontId="6" fillId="0" borderId="28" xfId="0" applyNumberFormat="1" applyFont="1" applyBorder="1" applyAlignment="1">
      <alignment vertical="center"/>
    </xf>
    <xf numFmtId="3" fontId="15" fillId="0" borderId="28" xfId="0" applyNumberFormat="1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167" fontId="13" fillId="0" borderId="28" xfId="0" applyNumberFormat="1" applyFont="1" applyBorder="1" applyAlignment="1">
      <alignment vertical="center"/>
    </xf>
    <xf numFmtId="167" fontId="17" fillId="0" borderId="28" xfId="0" applyNumberFormat="1" applyFont="1" applyBorder="1" applyAlignment="1">
      <alignment vertical="center"/>
    </xf>
    <xf numFmtId="174" fontId="6" fillId="0" borderId="28" xfId="0" applyNumberFormat="1" applyFont="1" applyBorder="1" applyAlignment="1">
      <alignment vertical="center"/>
    </xf>
    <xf numFmtId="174" fontId="15" fillId="0" borderId="28" xfId="0" applyNumberFormat="1" applyFont="1" applyBorder="1" applyAlignment="1">
      <alignment vertical="center"/>
    </xf>
    <xf numFmtId="168" fontId="6" fillId="0" borderId="28" xfId="0" applyNumberFormat="1" applyFont="1" applyBorder="1" applyAlignment="1">
      <alignment vertical="center"/>
    </xf>
    <xf numFmtId="168" fontId="15" fillId="0" borderId="28" xfId="0" applyNumberFormat="1" applyFont="1" applyBorder="1" applyAlignment="1">
      <alignment vertical="center"/>
    </xf>
    <xf numFmtId="171" fontId="6" fillId="0" borderId="28" xfId="0" applyNumberFormat="1" applyFont="1" applyBorder="1" applyAlignment="1">
      <alignment vertical="center"/>
    </xf>
    <xf numFmtId="171" fontId="15" fillId="0" borderId="28" xfId="0" applyNumberFormat="1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171" fontId="19" fillId="0" borderId="28" xfId="0" applyNumberFormat="1" applyFont="1" applyBorder="1" applyAlignment="1">
      <alignment vertical="center"/>
    </xf>
    <xf numFmtId="171" fontId="18" fillId="0" borderId="28" xfId="0" applyNumberFormat="1" applyFont="1" applyBorder="1" applyAlignment="1">
      <alignment vertical="center"/>
    </xf>
    <xf numFmtId="2" fontId="13" fillId="0" borderId="28" xfId="0" applyNumberFormat="1" applyFont="1" applyBorder="1" applyAlignment="1">
      <alignment vertical="center"/>
    </xf>
    <xf numFmtId="2" fontId="17" fillId="0" borderId="28" xfId="0" applyNumberFormat="1" applyFont="1" applyBorder="1" applyAlignment="1">
      <alignment vertical="center"/>
    </xf>
    <xf numFmtId="168" fontId="13" fillId="0" borderId="28" xfId="0" applyNumberFormat="1" applyFont="1" applyBorder="1" applyAlignment="1">
      <alignment vertical="center"/>
    </xf>
    <xf numFmtId="168" fontId="17" fillId="0" borderId="28" xfId="0" applyNumberFormat="1" applyFont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166" fontId="15" fillId="0" borderId="28" xfId="0" applyNumberFormat="1" applyFont="1" applyBorder="1" applyAlignment="1">
      <alignment vertical="center"/>
    </xf>
    <xf numFmtId="0" fontId="20" fillId="0" borderId="29" xfId="0" applyFont="1" applyBorder="1" applyAlignment="1">
      <alignment vertical="center"/>
    </xf>
    <xf numFmtId="167" fontId="21" fillId="0" borderId="29" xfId="0" applyNumberFormat="1" applyFont="1" applyBorder="1" applyAlignment="1">
      <alignment vertical="center"/>
    </xf>
    <xf numFmtId="167" fontId="20" fillId="0" borderId="29" xfId="0" applyNumberFormat="1" applyFont="1" applyBorder="1" applyAlignment="1">
      <alignment vertical="center"/>
    </xf>
    <xf numFmtId="173" fontId="17" fillId="0" borderId="28" xfId="0" applyNumberFormat="1" applyFont="1" applyBorder="1" applyAlignment="1">
      <alignment vertical="center"/>
    </xf>
    <xf numFmtId="173" fontId="20" fillId="0" borderId="29" xfId="0" applyNumberFormat="1" applyFont="1" applyBorder="1" applyAlignment="1">
      <alignment vertical="center"/>
    </xf>
    <xf numFmtId="167" fontId="15" fillId="0" borderId="27" xfId="0" applyNumberFormat="1" applyFont="1" applyBorder="1" applyAlignment="1">
      <alignment vertical="center"/>
    </xf>
    <xf numFmtId="167" fontId="15" fillId="0" borderId="28" xfId="0" applyNumberFormat="1" applyFont="1" applyBorder="1" applyAlignment="1">
      <alignment vertical="center"/>
    </xf>
    <xf numFmtId="0" fontId="15" fillId="0" borderId="29" xfId="0" applyFont="1" applyBorder="1" applyAlignment="1">
      <alignment vertical="center"/>
    </xf>
    <xf numFmtId="168" fontId="15" fillId="0" borderId="29" xfId="0" applyNumberFormat="1" applyFont="1" applyBorder="1" applyAlignment="1">
      <alignment vertical="center"/>
    </xf>
    <xf numFmtId="167" fontId="15" fillId="0" borderId="29" xfId="0" applyNumberFormat="1" applyFont="1" applyBorder="1" applyAlignment="1">
      <alignment vertical="center"/>
    </xf>
    <xf numFmtId="171" fontId="15" fillId="0" borderId="27" xfId="0" applyNumberFormat="1" applyFont="1" applyBorder="1" applyAlignment="1">
      <alignment vertical="center"/>
    </xf>
    <xf numFmtId="167" fontId="18" fillId="0" borderId="28" xfId="0" applyNumberFormat="1" applyFont="1" applyBorder="1" applyAlignment="1">
      <alignment vertical="center"/>
    </xf>
    <xf numFmtId="174" fontId="15" fillId="0" borderId="27" xfId="0" applyNumberFormat="1" applyFont="1" applyBorder="1" applyAlignment="1">
      <alignment vertical="center"/>
    </xf>
    <xf numFmtId="0" fontId="18" fillId="0" borderId="29" xfId="0" applyFont="1" applyBorder="1" applyAlignment="1">
      <alignment vertical="center"/>
    </xf>
    <xf numFmtId="165" fontId="18" fillId="0" borderId="29" xfId="0" applyNumberFormat="1" applyFont="1" applyBorder="1" applyAlignment="1">
      <alignment vertical="center"/>
    </xf>
    <xf numFmtId="2" fontId="15" fillId="0" borderId="28" xfId="0" applyNumberFormat="1" applyFont="1" applyBorder="1" applyAlignment="1">
      <alignment vertical="center"/>
    </xf>
    <xf numFmtId="166" fontId="15" fillId="0" borderId="27" xfId="0" applyNumberFormat="1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165" fontId="18" fillId="0" borderId="27" xfId="0" applyNumberFormat="1" applyFont="1" applyBorder="1" applyAlignment="1">
      <alignment vertical="center"/>
    </xf>
    <xf numFmtId="165" fontId="15" fillId="0" borderId="28" xfId="0" applyNumberFormat="1" applyFont="1" applyBorder="1" applyAlignment="1">
      <alignment vertical="center"/>
    </xf>
    <xf numFmtId="165" fontId="18" fillId="0" borderId="28" xfId="0" applyNumberFormat="1" applyFont="1" applyBorder="1" applyAlignment="1">
      <alignment vertical="center"/>
    </xf>
    <xf numFmtId="0" fontId="15" fillId="0" borderId="30" xfId="0" applyFont="1" applyBorder="1" applyAlignment="1">
      <alignment vertical="top" wrapText="1"/>
    </xf>
    <xf numFmtId="171" fontId="15" fillId="0" borderId="3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17" fontId="1" fillId="0" borderId="28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17" fontId="1" fillId="0" borderId="29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2" fontId="15" fillId="0" borderId="27" xfId="0" applyNumberFormat="1" applyFont="1" applyBorder="1" applyAlignment="1">
      <alignment vertical="center"/>
    </xf>
    <xf numFmtId="175" fontId="15" fillId="0" borderId="27" xfId="0" applyNumberFormat="1" applyFont="1" applyBorder="1" applyAlignment="1">
      <alignment vertical="center"/>
    </xf>
    <xf numFmtId="0" fontId="3" fillId="8" borderId="21" xfId="0" applyFont="1" applyFill="1" applyBorder="1" applyAlignment="1">
      <alignment vertical="center"/>
    </xf>
    <xf numFmtId="0" fontId="3" fillId="8" borderId="22" xfId="0" applyFont="1" applyFill="1" applyBorder="1" applyAlignment="1">
      <alignment vertical="center"/>
    </xf>
    <xf numFmtId="0" fontId="3" fillId="8" borderId="23" xfId="0" applyFont="1" applyFill="1" applyBorder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4" fillId="9" borderId="24" xfId="0" applyFont="1" applyFill="1" applyBorder="1" applyAlignment="1">
      <alignment horizontal="center" vertical="center" wrapText="1"/>
    </xf>
    <xf numFmtId="0" fontId="4" fillId="9" borderId="25" xfId="0" applyFont="1" applyFill="1" applyBorder="1" applyAlignment="1">
      <alignment horizontal="center" vertical="center" wrapText="1"/>
    </xf>
    <xf numFmtId="0" fontId="4" fillId="9" borderId="26" xfId="0" applyFont="1" applyFill="1" applyBorder="1" applyAlignment="1">
      <alignment horizontal="center" vertical="center" wrapText="1"/>
    </xf>
    <xf numFmtId="17" fontId="4" fillId="9" borderId="25" xfId="0" applyNumberFormat="1" applyFont="1" applyFill="1" applyBorder="1" applyAlignment="1">
      <alignment horizontal="center" vertical="center" wrapText="1"/>
    </xf>
    <xf numFmtId="0" fontId="15" fillId="10" borderId="30" xfId="0" applyFont="1" applyFill="1" applyBorder="1" applyAlignment="1">
      <alignment vertical="top" wrapText="1"/>
    </xf>
    <xf numFmtId="0" fontId="22" fillId="9" borderId="27" xfId="0" applyFont="1" applyFill="1" applyBorder="1" applyAlignment="1">
      <alignment horizontal="center" vertical="center" wrapText="1"/>
    </xf>
    <xf numFmtId="0" fontId="22" fillId="9" borderId="27" xfId="0" applyFont="1" applyFill="1" applyBorder="1" applyAlignment="1">
      <alignment horizontal="center" wrapText="1"/>
    </xf>
    <xf numFmtId="0" fontId="16" fillId="0" borderId="0" xfId="0" applyFont="1"/>
    <xf numFmtId="0" fontId="23" fillId="0" borderId="0" xfId="0" applyFont="1"/>
    <xf numFmtId="0" fontId="3" fillId="11" borderId="0" xfId="0" applyFont="1" applyFill="1"/>
    <xf numFmtId="0" fontId="3" fillId="11" borderId="0" xfId="0" applyFont="1" applyFill="1" applyAlignment="1">
      <alignment vertical="center"/>
    </xf>
    <xf numFmtId="0" fontId="3" fillId="11" borderId="21" xfId="0" applyFont="1" applyFill="1" applyBorder="1" applyAlignment="1">
      <alignment vertical="center"/>
    </xf>
    <xf numFmtId="0" fontId="3" fillId="11" borderId="22" xfId="0" applyFont="1" applyFill="1" applyBorder="1" applyAlignment="1">
      <alignment vertical="center"/>
    </xf>
    <xf numFmtId="0" fontId="3" fillId="11" borderId="23" xfId="0" applyFont="1" applyFill="1" applyBorder="1" applyAlignment="1">
      <alignment vertical="center"/>
    </xf>
    <xf numFmtId="0" fontId="5" fillId="12" borderId="0" xfId="0" applyFont="1" applyFill="1"/>
    <xf numFmtId="17" fontId="5" fillId="12" borderId="0" xfId="0" applyNumberFormat="1" applyFont="1" applyFill="1"/>
    <xf numFmtId="0" fontId="9" fillId="0" borderId="0" xfId="0" applyFont="1"/>
    <xf numFmtId="0" fontId="4" fillId="13" borderId="0" xfId="0" applyFont="1" applyFill="1" applyAlignment="1">
      <alignment horizontal="center" vertical="center" wrapText="1"/>
    </xf>
    <xf numFmtId="4" fontId="5" fillId="12" borderId="0" xfId="0" applyNumberFormat="1" applyFont="1" applyFill="1"/>
    <xf numFmtId="167" fontId="5" fillId="12" borderId="0" xfId="0" applyNumberFormat="1" applyFont="1" applyFill="1"/>
    <xf numFmtId="2" fontId="5" fillId="12" borderId="0" xfId="0" applyNumberFormat="1" applyFont="1" applyFill="1"/>
    <xf numFmtId="166" fontId="5" fillId="12" borderId="0" xfId="0" applyNumberFormat="1" applyFont="1" applyFill="1"/>
    <xf numFmtId="0" fontId="3" fillId="0" borderId="0" xfId="0" applyFont="1"/>
    <xf numFmtId="0" fontId="24" fillId="0" borderId="0" xfId="0" applyFont="1"/>
    <xf numFmtId="172" fontId="9" fillId="0" borderId="0" xfId="0" applyNumberFormat="1" applyFont="1"/>
    <xf numFmtId="167" fontId="1" fillId="0" borderId="0" xfId="0" applyNumberFormat="1" applyFont="1"/>
    <xf numFmtId="3" fontId="1" fillId="0" borderId="0" xfId="0" applyNumberFormat="1" applyFont="1"/>
    <xf numFmtId="176" fontId="1" fillId="0" borderId="0" xfId="0" applyNumberFormat="1" applyFont="1"/>
    <xf numFmtId="0" fontId="1" fillId="0" borderId="17" xfId="0" applyFont="1" applyBorder="1"/>
    <xf numFmtId="167" fontId="1" fillId="0" borderId="17" xfId="0" applyNumberFormat="1" applyFont="1" applyBorder="1"/>
    <xf numFmtId="177" fontId="1" fillId="0" borderId="0" xfId="0" applyNumberFormat="1" applyFont="1"/>
    <xf numFmtId="2" fontId="1" fillId="0" borderId="0" xfId="0" applyNumberFormat="1" applyFont="1"/>
    <xf numFmtId="0" fontId="4" fillId="13" borderId="0" xfId="0" applyFont="1" applyFill="1" applyAlignment="1">
      <alignment vertical="center"/>
    </xf>
    <xf numFmtId="0" fontId="10" fillId="0" borderId="0" xfId="0" applyFont="1"/>
    <xf numFmtId="0" fontId="9" fillId="0" borderId="16" xfId="0" applyFont="1" applyBorder="1"/>
    <xf numFmtId="0" fontId="9" fillId="0" borderId="31" xfId="0" applyFont="1" applyBorder="1"/>
    <xf numFmtId="0" fontId="9" fillId="0" borderId="17" xfId="0" applyFont="1" applyBorder="1"/>
    <xf numFmtId="0" fontId="1" fillId="14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7" fontId="1" fillId="14" borderId="0" xfId="0" applyNumberFormat="1" applyFont="1" applyFill="1" applyAlignment="1">
      <alignment horizontal="center" vertical="center"/>
    </xf>
    <xf numFmtId="17" fontId="1" fillId="12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vertical="center"/>
    </xf>
    <xf numFmtId="174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67" fontId="3" fillId="11" borderId="0" xfId="0" applyNumberFormat="1" applyFont="1" applyFill="1" applyAlignment="1">
      <alignment vertical="center"/>
    </xf>
    <xf numFmtId="176" fontId="9" fillId="0" borderId="16" xfId="0" applyNumberFormat="1" applyFont="1" applyBorder="1" applyAlignment="1">
      <alignment vertical="center"/>
    </xf>
    <xf numFmtId="167" fontId="9" fillId="0" borderId="16" xfId="0" applyNumberFormat="1" applyFont="1" applyBorder="1" applyAlignment="1">
      <alignment vertical="center"/>
    </xf>
    <xf numFmtId="176" fontId="10" fillId="0" borderId="0" xfId="0" applyNumberFormat="1" applyFont="1" applyAlignment="1">
      <alignment vertical="center"/>
    </xf>
    <xf numFmtId="176" fontId="9" fillId="0" borderId="31" xfId="0" applyNumberFormat="1" applyFont="1" applyBorder="1" applyAlignment="1">
      <alignment vertical="center"/>
    </xf>
    <xf numFmtId="167" fontId="9" fillId="0" borderId="31" xfId="0" applyNumberFormat="1" applyFont="1" applyBorder="1" applyAlignment="1">
      <alignment vertical="center"/>
    </xf>
    <xf numFmtId="176" fontId="9" fillId="0" borderId="17" xfId="0" applyNumberFormat="1" applyFont="1" applyBorder="1" applyAlignment="1">
      <alignment vertical="center"/>
    </xf>
    <xf numFmtId="167" fontId="9" fillId="0" borderId="17" xfId="0" applyNumberFormat="1" applyFont="1" applyBorder="1" applyAlignment="1">
      <alignment vertical="center"/>
    </xf>
    <xf numFmtId="176" fontId="6" fillId="0" borderId="0" xfId="0" applyNumberFormat="1" applyFont="1" applyAlignment="1">
      <alignment vertical="center"/>
    </xf>
    <xf numFmtId="0" fontId="19" fillId="11" borderId="0" xfId="0" applyFont="1" applyFill="1" applyAlignment="1">
      <alignment vertical="center"/>
    </xf>
    <xf numFmtId="176" fontId="19" fillId="0" borderId="16" xfId="0" applyNumberFormat="1" applyFont="1" applyBorder="1" applyAlignment="1">
      <alignment vertical="center"/>
    </xf>
    <xf numFmtId="176" fontId="13" fillId="0" borderId="0" xfId="0" applyNumberFormat="1" applyFont="1" applyAlignment="1">
      <alignment vertical="center"/>
    </xf>
    <xf numFmtId="176" fontId="19" fillId="0" borderId="31" xfId="0" applyNumberFormat="1" applyFont="1" applyBorder="1" applyAlignment="1">
      <alignment vertical="center"/>
    </xf>
    <xf numFmtId="176" fontId="19" fillId="0" borderId="17" xfId="0" applyNumberFormat="1" applyFont="1" applyBorder="1" applyAlignment="1">
      <alignment vertical="center"/>
    </xf>
    <xf numFmtId="175" fontId="3" fillId="11" borderId="2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75" fontId="1" fillId="0" borderId="0" xfId="0" applyNumberFormat="1" applyFont="1" applyAlignment="1">
      <alignment vertical="center"/>
    </xf>
    <xf numFmtId="0" fontId="25" fillId="0" borderId="0" xfId="0" applyFont="1"/>
    <xf numFmtId="0" fontId="25" fillId="0" borderId="32" xfId="0" applyFont="1" applyBorder="1" applyAlignment="1">
      <alignment vertical="center"/>
    </xf>
    <xf numFmtId="0" fontId="28" fillId="0" borderId="32" xfId="0" applyFont="1" applyBorder="1" applyAlignment="1">
      <alignment vertical="center"/>
    </xf>
    <xf numFmtId="167" fontId="25" fillId="0" borderId="32" xfId="0" applyNumberFormat="1" applyFont="1" applyBorder="1" applyAlignment="1">
      <alignment vertical="center"/>
    </xf>
    <xf numFmtId="173" fontId="25" fillId="0" borderId="32" xfId="0" applyNumberFormat="1" applyFont="1" applyBorder="1" applyAlignment="1">
      <alignment vertical="center"/>
    </xf>
    <xf numFmtId="178" fontId="25" fillId="0" borderId="32" xfId="0" applyNumberFormat="1" applyFont="1" applyBorder="1" applyAlignment="1">
      <alignment vertical="center"/>
    </xf>
    <xf numFmtId="179" fontId="25" fillId="0" borderId="32" xfId="0" applyNumberFormat="1" applyFont="1" applyBorder="1" applyAlignment="1">
      <alignment vertical="center"/>
    </xf>
    <xf numFmtId="180" fontId="25" fillId="0" borderId="32" xfId="0" applyNumberFormat="1" applyFont="1" applyBorder="1" applyAlignment="1">
      <alignment vertical="center"/>
    </xf>
    <xf numFmtId="181" fontId="25" fillId="0" borderId="32" xfId="0" applyNumberFormat="1" applyFont="1" applyBorder="1" applyAlignment="1">
      <alignment vertical="center"/>
    </xf>
    <xf numFmtId="0" fontId="29" fillId="0" borderId="0" xfId="0" applyFont="1"/>
    <xf numFmtId="178" fontId="29" fillId="0" borderId="0" xfId="0" applyNumberFormat="1" applyFont="1"/>
    <xf numFmtId="182" fontId="29" fillId="0" borderId="0" xfId="0" applyNumberFormat="1" applyFont="1"/>
    <xf numFmtId="0" fontId="25" fillId="0" borderId="32" xfId="0" applyFont="1" applyBorder="1" applyAlignment="1">
      <alignment vertical="center" wrapText="1"/>
    </xf>
    <xf numFmtId="183" fontId="25" fillId="0" borderId="32" xfId="0" applyNumberFormat="1" applyFont="1" applyBorder="1" applyAlignment="1">
      <alignment vertical="center" wrapText="1"/>
    </xf>
    <xf numFmtId="166" fontId="29" fillId="0" borderId="0" xfId="0" applyNumberFormat="1" applyFont="1"/>
    <xf numFmtId="0" fontId="4" fillId="15" borderId="0" xfId="0" applyFont="1" applyFill="1"/>
    <xf numFmtId="0" fontId="22" fillId="17" borderId="32" xfId="0" applyFont="1" applyFill="1" applyBorder="1"/>
    <xf numFmtId="0" fontId="22" fillId="17" borderId="32" xfId="0" applyFont="1" applyFill="1" applyBorder="1" applyAlignment="1">
      <alignment horizontal="center" vertical="center" wrapText="1"/>
    </xf>
    <xf numFmtId="0" fontId="25" fillId="19" borderId="32" xfId="0" applyFont="1" applyFill="1" applyBorder="1" applyAlignment="1">
      <alignment vertical="center"/>
    </xf>
    <xf numFmtId="0" fontId="30" fillId="16" borderId="32" xfId="0" applyFont="1" applyFill="1" applyBorder="1" applyAlignment="1">
      <alignment vertical="center"/>
    </xf>
    <xf numFmtId="0" fontId="30" fillId="19" borderId="32" xfId="0" applyFont="1" applyFill="1" applyBorder="1" applyAlignment="1">
      <alignment vertical="center"/>
    </xf>
    <xf numFmtId="167" fontId="25" fillId="19" borderId="32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5" fillId="0" borderId="30" xfId="0" applyFont="1" applyBorder="1" applyAlignment="1">
      <alignment vertical="top" wrapText="1"/>
    </xf>
    <xf numFmtId="0" fontId="7" fillId="0" borderId="0" xfId="0" applyFont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26" fillId="15" borderId="0" xfId="0" applyFont="1" applyFill="1" applyAlignment="1">
      <alignment horizontal="left" vertical="center"/>
    </xf>
    <xf numFmtId="0" fontId="27" fillId="16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25" fillId="18" borderId="33" xfId="0" applyFont="1" applyFill="1" applyBorder="1" applyAlignment="1">
      <alignment vertical="center" wrapText="1"/>
    </xf>
    <xf numFmtId="0" fontId="25" fillId="18" borderId="34" xfId="0" applyFont="1" applyFill="1" applyBorder="1" applyAlignment="1">
      <alignment vertical="center" wrapText="1"/>
    </xf>
    <xf numFmtId="0" fontId="25" fillId="18" borderId="35" xfId="0" applyFont="1" applyFill="1" applyBorder="1" applyAlignment="1">
      <alignment vertical="center" wrapText="1"/>
    </xf>
    <xf numFmtId="0" fontId="25" fillId="18" borderId="36" xfId="0" applyFont="1" applyFill="1" applyBorder="1" applyAlignment="1">
      <alignment vertical="center" wrapText="1"/>
    </xf>
    <xf numFmtId="0" fontId="25" fillId="18" borderId="0" xfId="0" applyFont="1" applyFill="1" applyAlignment="1">
      <alignment vertical="center" wrapText="1"/>
    </xf>
    <xf numFmtId="0" fontId="25" fillId="18" borderId="37" xfId="0" applyFont="1" applyFill="1" applyBorder="1" applyAlignment="1">
      <alignment vertical="center" wrapText="1"/>
    </xf>
    <xf numFmtId="0" fontId="25" fillId="18" borderId="38" xfId="0" applyFont="1" applyFill="1" applyBorder="1" applyAlignment="1">
      <alignment vertical="center" wrapText="1"/>
    </xf>
    <xf numFmtId="0" fontId="25" fillId="18" borderId="39" xfId="0" applyFont="1" applyFill="1" applyBorder="1" applyAlignment="1">
      <alignment vertical="center" wrapText="1"/>
    </xf>
    <xf numFmtId="0" fontId="25" fillId="18" borderId="40" xfId="0" applyFont="1" applyFill="1" applyBorder="1" applyAlignment="1">
      <alignment vertical="center" wrapText="1"/>
    </xf>
    <xf numFmtId="0" fontId="25" fillId="16" borderId="33" xfId="0" applyFont="1" applyFill="1" applyBorder="1" applyAlignment="1">
      <alignment vertical="center" wrapText="1"/>
    </xf>
    <xf numFmtId="0" fontId="25" fillId="16" borderId="34" xfId="0" applyFont="1" applyFill="1" applyBorder="1" applyAlignment="1">
      <alignment vertical="center" wrapText="1"/>
    </xf>
    <xf numFmtId="0" fontId="25" fillId="16" borderId="35" xfId="0" applyFont="1" applyFill="1" applyBorder="1" applyAlignment="1">
      <alignment vertical="center" wrapText="1"/>
    </xf>
    <xf numFmtId="0" fontId="25" fillId="16" borderId="36" xfId="0" applyFont="1" applyFill="1" applyBorder="1" applyAlignment="1">
      <alignment vertical="center" wrapText="1"/>
    </xf>
    <xf numFmtId="0" fontId="25" fillId="16" borderId="0" xfId="0" applyFont="1" applyFill="1" applyAlignment="1">
      <alignment vertical="center" wrapText="1"/>
    </xf>
    <xf numFmtId="0" fontId="25" fillId="16" borderId="37" xfId="0" applyFont="1" applyFill="1" applyBorder="1" applyAlignment="1">
      <alignment vertical="center" wrapText="1"/>
    </xf>
    <xf numFmtId="0" fontId="25" fillId="16" borderId="38" xfId="0" applyFont="1" applyFill="1" applyBorder="1" applyAlignment="1">
      <alignment vertical="center" wrapText="1"/>
    </xf>
    <xf numFmtId="0" fontId="25" fillId="16" borderId="39" xfId="0" applyFont="1" applyFill="1" applyBorder="1" applyAlignment="1">
      <alignment vertical="center" wrapText="1"/>
    </xf>
    <xf numFmtId="0" fontId="25" fillId="16" borderId="40" xfId="0" applyFont="1" applyFill="1" applyBorder="1" applyAlignment="1">
      <alignment vertical="center" wrapText="1"/>
    </xf>
    <xf numFmtId="0" fontId="25" fillId="19" borderId="33" xfId="0" applyFont="1" applyFill="1" applyBorder="1" applyAlignment="1">
      <alignment vertical="center" wrapText="1"/>
    </xf>
    <xf numFmtId="0" fontId="25" fillId="19" borderId="34" xfId="0" applyFont="1" applyFill="1" applyBorder="1" applyAlignment="1">
      <alignment vertical="center" wrapText="1"/>
    </xf>
    <xf numFmtId="0" fontId="25" fillId="19" borderId="35" xfId="0" applyFont="1" applyFill="1" applyBorder="1" applyAlignment="1">
      <alignment vertical="center" wrapText="1"/>
    </xf>
    <xf numFmtId="0" fontId="25" fillId="19" borderId="36" xfId="0" applyFont="1" applyFill="1" applyBorder="1" applyAlignment="1">
      <alignment vertical="center" wrapText="1"/>
    </xf>
    <xf numFmtId="0" fontId="25" fillId="19" borderId="0" xfId="0" applyFont="1" applyFill="1" applyAlignment="1">
      <alignment vertical="center" wrapText="1"/>
    </xf>
    <xf numFmtId="0" fontId="25" fillId="19" borderId="37" xfId="0" applyFont="1" applyFill="1" applyBorder="1" applyAlignment="1">
      <alignment vertical="center" wrapText="1"/>
    </xf>
    <xf numFmtId="0" fontId="25" fillId="19" borderId="38" xfId="0" applyFont="1" applyFill="1" applyBorder="1" applyAlignment="1">
      <alignment vertical="center" wrapText="1"/>
    </xf>
    <xf numFmtId="0" fontId="25" fillId="19" borderId="39" xfId="0" applyFont="1" applyFill="1" applyBorder="1" applyAlignment="1">
      <alignment vertical="center" wrapText="1"/>
    </xf>
    <xf numFmtId="0" fontId="25" fillId="19" borderId="40" xfId="0" applyFont="1" applyFill="1" applyBorder="1" applyAlignment="1">
      <alignment vertical="center" wrapText="1"/>
    </xf>
    <xf numFmtId="0" fontId="22" fillId="17" borderId="32" xfId="0" applyFont="1" applyFill="1" applyBorder="1" applyAlignment="1">
      <alignment horizontal="center" vertical="center" wrapText="1"/>
    </xf>
    <xf numFmtId="0" fontId="30" fillId="16" borderId="32" xfId="0" applyFont="1" applyFill="1" applyBorder="1" applyAlignment="1">
      <alignment vertical="center"/>
    </xf>
    <xf numFmtId="178" fontId="30" fillId="16" borderId="32" xfId="0" applyNumberFormat="1" applyFont="1" applyFill="1" applyBorder="1" applyAlignment="1">
      <alignment vertical="center"/>
    </xf>
    <xf numFmtId="0" fontId="25" fillId="0" borderId="32" xfId="0" applyFont="1" applyBorder="1" applyAlignment="1">
      <alignment vertical="center"/>
    </xf>
    <xf numFmtId="178" fontId="25" fillId="0" borderId="32" xfId="0" applyNumberFormat="1" applyFont="1" applyBorder="1" applyAlignment="1">
      <alignment vertical="center"/>
    </xf>
    <xf numFmtId="0" fontId="30" fillId="19" borderId="32" xfId="0" applyFont="1" applyFill="1" applyBorder="1" applyAlignment="1">
      <alignment vertical="center"/>
    </xf>
    <xf numFmtId="178" fontId="30" fillId="19" borderId="32" xfId="0" applyNumberFormat="1" applyFont="1" applyFill="1" applyBorder="1" applyAlignment="1">
      <alignment vertical="center"/>
    </xf>
    <xf numFmtId="178" fontId="25" fillId="19" borderId="32" xfId="0" applyNumberFormat="1" applyFont="1" applyFill="1" applyBorder="1" applyAlignment="1">
      <alignment vertical="center"/>
    </xf>
    <xf numFmtId="0" fontId="25" fillId="20" borderId="33" xfId="0" applyFont="1" applyFill="1" applyBorder="1" applyAlignment="1">
      <alignment vertical="center" wrapText="1"/>
    </xf>
    <xf numFmtId="0" fontId="25" fillId="20" borderId="34" xfId="0" applyFont="1" applyFill="1" applyBorder="1" applyAlignment="1">
      <alignment vertical="center" wrapText="1"/>
    </xf>
    <xf numFmtId="0" fontId="25" fillId="20" borderId="35" xfId="0" applyFont="1" applyFill="1" applyBorder="1" applyAlignment="1">
      <alignment vertical="center" wrapText="1"/>
    </xf>
    <xf numFmtId="0" fontId="25" fillId="20" borderId="36" xfId="0" applyFont="1" applyFill="1" applyBorder="1" applyAlignment="1">
      <alignment vertical="center" wrapText="1"/>
    </xf>
    <xf numFmtId="0" fontId="25" fillId="20" borderId="0" xfId="0" applyFont="1" applyFill="1" applyAlignment="1">
      <alignment vertical="center" wrapText="1"/>
    </xf>
    <xf numFmtId="0" fontId="25" fillId="20" borderId="37" xfId="0" applyFont="1" applyFill="1" applyBorder="1" applyAlignment="1">
      <alignment vertical="center" wrapText="1"/>
    </xf>
    <xf numFmtId="0" fontId="25" fillId="20" borderId="38" xfId="0" applyFont="1" applyFill="1" applyBorder="1" applyAlignment="1">
      <alignment vertical="center" wrapText="1"/>
    </xf>
    <xf numFmtId="0" fontId="25" fillId="20" borderId="39" xfId="0" applyFont="1" applyFill="1" applyBorder="1" applyAlignment="1">
      <alignment vertical="center" wrapText="1"/>
    </xf>
    <xf numFmtId="0" fontId="25" fillId="20" borderId="40" xfId="0" applyFont="1" applyFill="1" applyBorder="1" applyAlignment="1">
      <alignment vertical="center" wrapText="1"/>
    </xf>
    <xf numFmtId="0" fontId="25" fillId="21" borderId="33" xfId="0" applyFont="1" applyFill="1" applyBorder="1" applyAlignment="1">
      <alignment vertical="center" wrapText="1"/>
    </xf>
    <xf numFmtId="0" fontId="25" fillId="21" borderId="34" xfId="0" applyFont="1" applyFill="1" applyBorder="1" applyAlignment="1">
      <alignment vertical="center" wrapText="1"/>
    </xf>
    <xf numFmtId="0" fontId="25" fillId="21" borderId="35" xfId="0" applyFont="1" applyFill="1" applyBorder="1" applyAlignment="1">
      <alignment vertical="center" wrapText="1"/>
    </xf>
    <xf numFmtId="0" fontId="25" fillId="21" borderId="36" xfId="0" applyFont="1" applyFill="1" applyBorder="1" applyAlignment="1">
      <alignment vertical="center" wrapText="1"/>
    </xf>
    <xf numFmtId="0" fontId="25" fillId="21" borderId="0" xfId="0" applyFont="1" applyFill="1" applyAlignment="1">
      <alignment vertical="center" wrapText="1"/>
    </xf>
    <xf numFmtId="0" fontId="25" fillId="21" borderId="37" xfId="0" applyFont="1" applyFill="1" applyBorder="1" applyAlignment="1">
      <alignment vertical="center" wrapText="1"/>
    </xf>
    <xf numFmtId="0" fontId="25" fillId="21" borderId="38" xfId="0" applyFont="1" applyFill="1" applyBorder="1" applyAlignment="1">
      <alignment vertical="center" wrapText="1"/>
    </xf>
    <xf numFmtId="0" fontId="25" fillId="21" borderId="39" xfId="0" applyFont="1" applyFill="1" applyBorder="1" applyAlignment="1">
      <alignment vertical="center" wrapText="1"/>
    </xf>
    <xf numFmtId="0" fontId="25" fillId="21" borderId="40" xfId="0" applyFont="1" applyFill="1" applyBorder="1" applyAlignment="1">
      <alignment vertical="center" wrapText="1"/>
    </xf>
    <xf numFmtId="0" fontId="25" fillId="0" borderId="32" xfId="0" applyFont="1" applyBorder="1" applyAlignment="1">
      <alignment vertical="center" wrapText="1"/>
    </xf>
    <xf numFmtId="0" fontId="31" fillId="18" borderId="0" xfId="0" applyFont="1" applyFill="1" applyAlignment="1">
      <alignment vertical="center" wrapText="1"/>
    </xf>
  </cellXfs>
  <cellStyles count="1">
    <cellStyle name="Normal" xfId="0" builtinId="0"/>
  </cellStyles>
  <dxfs count="8">
    <dxf>
      <font>
        <b/>
        <color rgb="FFC00000"/>
      </font>
      <fill>
        <patternFill>
          <bgColor rgb="FFFDE9E7"/>
        </patternFill>
      </fill>
    </dxf>
    <dxf>
      <font>
        <b/>
        <color rgb="FFC00000"/>
      </font>
      <fill>
        <patternFill>
          <bgColor rgb="FFFCE8E6"/>
        </patternFill>
      </fill>
    </dxf>
    <dxf>
      <font>
        <b/>
        <color rgb="FFC00000"/>
      </font>
      <fill>
        <patternFill>
          <bgColor rgb="FFFCE8E6"/>
        </patternFill>
      </fill>
    </dxf>
    <dxf>
      <font>
        <b/>
        <color rgb="FFC00000"/>
      </font>
      <fill>
        <patternFill>
          <bgColor rgb="FFFDE9E7"/>
        </patternFill>
      </fill>
    </dxf>
    <dxf>
      <font>
        <b/>
        <color rgb="FFC00000"/>
      </font>
      <fill>
        <patternFill>
          <bgColor rgb="FFFDE9E7"/>
        </patternFill>
      </fill>
    </dxf>
    <dxf>
      <font>
        <b/>
        <color rgb="FFC00000"/>
      </font>
      <fill>
        <patternFill>
          <bgColor rgb="FFFCE8E6"/>
        </patternFill>
      </fill>
    </dxf>
    <dxf>
      <font>
        <b/>
        <color rgb="FFC00000"/>
      </font>
      <fill>
        <patternFill>
          <bgColor rgb="FFFDE9E7"/>
        </patternFill>
      </fill>
    </dxf>
    <dxf>
      <font>
        <b/>
        <color rgb="FFC00000"/>
      </font>
      <fill>
        <patternFill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Contribution impacts vs budget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Contribution impact</c:v>
          </c:tx>
          <c:invertIfNegative val="1"/>
          <c:cat>
            <c:strRef>
              <c:f>Review!$T$2:$T$10</c:f>
              <c:strCache>
                <c:ptCount val="9"/>
                <c:pt idx="0">
                  <c:v>Revenue volume</c:v>
                </c:pt>
                <c:pt idx="1">
                  <c:v>Customer mix</c:v>
                </c:pt>
                <c:pt idx="2">
                  <c:v>Rate</c:v>
                </c:pt>
                <c:pt idx="3">
                  <c:v>Housekeeping</c:v>
                </c:pt>
                <c:pt idx="4">
                  <c:v>Guest services</c:v>
                </c:pt>
                <c:pt idx="5">
                  <c:v>Distribution</c:v>
                </c:pt>
                <c:pt idx="6">
                  <c:v>Fixed staff</c:v>
                </c:pt>
                <c:pt idx="7">
                  <c:v>Overhead</c:v>
                </c:pt>
                <c:pt idx="8">
                  <c:v>Marketing</c:v>
                </c:pt>
              </c:strCache>
            </c:strRef>
          </c:cat>
          <c:val>
            <c:numRef>
              <c:f>Review!$U$2:$U$10</c:f>
              <c:numCache>
                <c:formatCode>\$#,##0;[Red]\(\$#,##0\);\-</c:formatCode>
                <c:ptCount val="9"/>
                <c:pt idx="0">
                  <c:v>-84994.689999999988</c:v>
                </c:pt>
                <c:pt idx="1">
                  <c:v>-17667.04999999989</c:v>
                </c:pt>
                <c:pt idx="2">
                  <c:v>4470</c:v>
                </c:pt>
                <c:pt idx="3">
                  <c:v>-9752.1199999999899</c:v>
                </c:pt>
                <c:pt idx="4">
                  <c:v>8649.6000000000131</c:v>
                </c:pt>
                <c:pt idx="5">
                  <c:v>3927.6695999999974</c:v>
                </c:pt>
                <c:pt idx="6">
                  <c:v>-800</c:v>
                </c:pt>
                <c:pt idx="7">
                  <c:v>-1760</c:v>
                </c:pt>
                <c:pt idx="8">
                  <c:v>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B-4C5E-B056-3CAA18A25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Monthly occupancy (%) — Budget vs Actual / Base RF1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Budget</c:v>
          </c:tx>
          <c:marker>
            <c:symbol val="none"/>
          </c:marker>
          <c:cat>
            <c:strRef>
              <c:f>Review!$W$2:$W$13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 (A)</c:v>
                </c:pt>
                <c:pt idx="6">
                  <c:v>Jul (F)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Review!$X$2:$X$13</c:f>
              <c:numCache>
                <c:formatCode>0.0</c:formatCode>
                <c:ptCount val="12"/>
                <c:pt idx="0">
                  <c:v>55.000000000000007</c:v>
                </c:pt>
                <c:pt idx="1">
                  <c:v>57.999999999999993</c:v>
                </c:pt>
                <c:pt idx="2">
                  <c:v>65</c:v>
                </c:pt>
                <c:pt idx="3">
                  <c:v>70</c:v>
                </c:pt>
                <c:pt idx="4">
                  <c:v>74</c:v>
                </c:pt>
                <c:pt idx="5">
                  <c:v>78</c:v>
                </c:pt>
                <c:pt idx="6">
                  <c:v>84</c:v>
                </c:pt>
                <c:pt idx="7">
                  <c:v>82</c:v>
                </c:pt>
                <c:pt idx="8">
                  <c:v>73</c:v>
                </c:pt>
                <c:pt idx="9">
                  <c:v>71</c:v>
                </c:pt>
                <c:pt idx="10">
                  <c:v>61</c:v>
                </c:pt>
                <c:pt idx="11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9-4469-B4A2-0EBA1DE82E23}"/>
            </c:ext>
          </c:extLst>
        </c:ser>
        <c:ser>
          <c:idx val="1"/>
          <c:order val="1"/>
          <c:tx>
            <c:v>Actual Jan–Jun / Base RF1 Jul–Dec</c:v>
          </c:tx>
          <c:marker>
            <c:symbol val="none"/>
          </c:marker>
          <c:cat>
            <c:strRef>
              <c:f>Review!$W$2:$W$13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 (A)</c:v>
                </c:pt>
                <c:pt idx="6">
                  <c:v>Jul (F)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Review!$Y$2:$Y$13</c:f>
              <c:numCache>
                <c:formatCode>0.0</c:formatCode>
                <c:ptCount val="12"/>
                <c:pt idx="0">
                  <c:v>53.483870967741929</c:v>
                </c:pt>
                <c:pt idx="1">
                  <c:v>57.285714285714285</c:v>
                </c:pt>
                <c:pt idx="2">
                  <c:v>62</c:v>
                </c:pt>
                <c:pt idx="3">
                  <c:v>65</c:v>
                </c:pt>
                <c:pt idx="4">
                  <c:v>69</c:v>
                </c:pt>
                <c:pt idx="5">
                  <c:v>75.5</c:v>
                </c:pt>
                <c:pt idx="6">
                  <c:v>82.322580645161295</c:v>
                </c:pt>
                <c:pt idx="7">
                  <c:v>80.354838709677423</c:v>
                </c:pt>
                <c:pt idx="8">
                  <c:v>71.533333333333331</c:v>
                </c:pt>
                <c:pt idx="9">
                  <c:v>69.935483870967744</c:v>
                </c:pt>
                <c:pt idx="10">
                  <c:v>60.4</c:v>
                </c:pt>
                <c:pt idx="11">
                  <c:v>58.41935483870968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9-4469-B4A2-0EBA1DE82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FY2026 property operating contribution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Property operating contribution</c:v>
          </c:tx>
          <c:invertIfNegative val="1"/>
          <c:cat>
            <c:strRef>
              <c:f>Review!$AB$2:$AB$5</c:f>
              <c:strCache>
                <c:ptCount val="4"/>
                <c:pt idx="0">
                  <c:v>Budget</c:v>
                </c:pt>
                <c:pt idx="1">
                  <c:v>Base</c:v>
                </c:pt>
                <c:pt idx="2">
                  <c:v>Upside</c:v>
                </c:pt>
                <c:pt idx="3">
                  <c:v>Downside</c:v>
                </c:pt>
              </c:strCache>
            </c:strRef>
          </c:cat>
          <c:val>
            <c:numRef>
              <c:f>Review!$AC$2:$AC$5</c:f>
              <c:numCache>
                <c:formatCode>\$#,##0</c:formatCode>
                <c:ptCount val="4"/>
                <c:pt idx="0">
                  <c:v>1279795.4142999998</c:v>
                </c:pt>
                <c:pt idx="1">
                  <c:v>1137547.1776000001</c:v>
                </c:pt>
                <c:pt idx="2">
                  <c:v>1198073.9668440002</c:v>
                </c:pt>
                <c:pt idx="3">
                  <c:v>1031710.4770119999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F-4C71-A917-9B370B594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61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61</xdr:row>
      <xdr:rowOff>0</xdr:rowOff>
    </xdr:from>
    <xdr:to>
      <xdr:col>14</xdr:col>
      <xdr:colOff>0</xdr:colOff>
      <xdr:row>76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inancialActuals" displayName="tblFinancialActuals" ref="C7:G151" totalsRowShown="0">
  <tableColumns count="5">
    <tableColumn id="1" xr3:uid="{00000000-0010-0000-0000-000001000000}" name="case_version"/>
    <tableColumn id="2" xr3:uid="{00000000-0010-0000-0000-000002000000}" name="period"/>
    <tableColumn id="3" xr3:uid="{00000000-0010-0000-0000-000003000000}" name="account_code"/>
    <tableColumn id="4" xr3:uid="{00000000-0010-0000-0000-000004000000}" name="account_name"/>
    <tableColumn id="5" xr3:uid="{00000000-0010-0000-0000-000005000000}" name="amount_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OperatingActuals" displayName="tblOperatingActuals" ref="C157:G193" totalsRowShown="0">
  <tableColumns count="5">
    <tableColumn id="1" xr3:uid="{00000000-0010-0000-0100-000001000000}" name="case_version"/>
    <tableColumn id="2" xr3:uid="{00000000-0010-0000-0100-000002000000}" name="period"/>
    <tableColumn id="3" xr3:uid="{00000000-0010-0000-0100-000003000000}" name="segment"/>
    <tableColumn id="4" xr3:uid="{00000000-0010-0000-0100-000004000000}" name="occupied_room_nights"/>
    <tableColumn id="5" xr3:uid="{00000000-0010-0000-0100-000005000000}" name="room_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LaborActuals" displayName="tblLaborActuals" ref="C199:H217" totalsRowShown="0">
  <tableColumns count="6">
    <tableColumn id="1" xr3:uid="{00000000-0010-0000-0200-000001000000}" name="case_version"/>
    <tableColumn id="2" xr3:uid="{00000000-0010-0000-0200-000002000000}" name="period"/>
    <tableColumn id="3" xr3:uid="{00000000-0010-0000-0200-000003000000}" name="housekeeping_hours"/>
    <tableColumn id="4" xr3:uid="{00000000-0010-0000-0200-000004000000}" name="housekeeping_payroll"/>
    <tableColumn id="5" xr3:uid="{00000000-0010-0000-0200-000005000000}" name="fixed_staff_fte"/>
    <tableColumn id="6" xr3:uid="{00000000-0010-0000-0200-000006000000}" name="fixed_staff_payrol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seUpdates" displayName="tblCaseUpdates" ref="C223:J230" totalsRowShown="0">
  <tableColumns count="8">
    <tableColumn id="1" xr3:uid="{00000000-0010-0000-0300-000001000000}" name="update_id"/>
    <tableColumn id="2" xr3:uid="{00000000-0010-0000-0300-000002000000}" name="as_of_date"/>
    <tableColumn id="3" xr3:uid="{00000000-0010-0000-0300-000003000000}" name="effective_start"/>
    <tableColumn id="4" xr3:uid="{00000000-0010-0000-0300-000004000000}" name="effective_end"/>
    <tableColumn id="5" xr3:uid="{00000000-0010-0000-0300-000005000000}" name="category"/>
    <tableColumn id="6" xr3:uid="{00000000-0010-0000-0300-000006000000}" name="observation"/>
    <tableColumn id="7" xr3:uid="{00000000-0010-0000-0300-000007000000}" name="evidence_status"/>
    <tableColumn id="8" xr3:uid="{00000000-0010-0000-0300-000008000000}" name="forecast_releva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BudgetAssumptions" displayName="tblBudgetAssumptions" ref="C7:R19" totalsRowShown="0">
  <tableColumns count="16">
    <tableColumn id="1" xr3:uid="{00000000-0010-0000-0400-000001000000}" name="case_version"/>
    <tableColumn id="2" xr3:uid="{00000000-0010-0000-0400-000002000000}" name="period"/>
    <tableColumn id="3" xr3:uid="{00000000-0010-0000-0400-000003000000}" name="rooms_available"/>
    <tableColumn id="4" xr3:uid="{00000000-0010-0000-0400-000004000000}" name="total_occupied_room_nights"/>
    <tableColumn id="5" xr3:uid="{00000000-0010-0000-0400-000005000000}" name="corporate_share"/>
    <tableColumn id="6" xr3:uid="{00000000-0010-0000-0400-000006000000}" name="retail_adr"/>
    <tableColumn id="7" xr3:uid="{00000000-0010-0000-0400-000007000000}" name="corporate_adr"/>
    <tableColumn id="8" xr3:uid="{00000000-0010-0000-0400-000008000000}" name="housekeeping_hours_per_occupied_room"/>
    <tableColumn id="9" xr3:uid="{00000000-0010-0000-0400-000009000000}" name="housekeeping_loaded_wage_per_hour"/>
    <tableColumn id="10" xr3:uid="{00000000-0010-0000-0400-00000A000000}" name="guest_service_cost_per_occupied_room"/>
    <tableColumn id="11" xr3:uid="{00000000-0010-0000-0400-00000B000000}" name="distribution_fee_rate"/>
    <tableColumn id="12" xr3:uid="{00000000-0010-0000-0400-00000C000000}" name="fixed_staff_fte"/>
    <tableColumn id="13" xr3:uid="{00000000-0010-0000-0400-00000D000000}" name="fixed_staff_loaded_cost_per_fte"/>
    <tableColumn id="14" xr3:uid="{00000000-0010-0000-0400-00000E000000}" name="rent"/>
    <tableColumn id="15" xr3:uid="{00000000-0010-0000-0400-00000F000000}" name="property_overhead"/>
    <tableColumn id="16" xr3:uid="{00000000-0010-0000-0400-000010000000}" name="marketin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Palmetto Stay">
  <a:themeElements>
    <a:clrScheme name="Palmetto Stay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lmetto Stay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C2:P35"/>
  <sheetViews>
    <sheetView showGridLines="0" tabSelected="1" workbookViewId="0"/>
  </sheetViews>
  <sheetFormatPr defaultRowHeight="13.5"/>
  <cols>
    <col min="3" max="3" width="25" customWidth="1"/>
    <col min="4" max="4" width="80" customWidth="1"/>
    <col min="5" max="5" width="20" customWidth="1"/>
  </cols>
  <sheetData>
    <row r="2" spans="3:16" ht="25.05" customHeight="1">
      <c r="C2" s="249" t="s">
        <v>888</v>
      </c>
      <c r="D2" s="249"/>
      <c r="E2" s="249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</row>
    <row r="3" spans="3:16">
      <c r="C3" s="2"/>
      <c r="D3" s="2"/>
      <c r="E3" s="2"/>
    </row>
    <row r="4" spans="3:16">
      <c r="C4" s="251" t="s">
        <v>0</v>
      </c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3"/>
    </row>
    <row r="5" spans="3:16">
      <c r="C5" s="254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6"/>
    </row>
    <row r="6" spans="3:16">
      <c r="C6" s="2"/>
      <c r="D6" s="2"/>
      <c r="E6" s="2"/>
    </row>
    <row r="7" spans="3:16" ht="28.05" customHeight="1">
      <c r="C7" s="12" t="s">
        <v>1</v>
      </c>
      <c r="D7" s="13" t="s">
        <v>889</v>
      </c>
      <c r="E7" s="2"/>
    </row>
    <row r="8" spans="3:16" ht="28.05" customHeight="1">
      <c r="C8" s="12" t="s">
        <v>2</v>
      </c>
      <c r="D8" s="13" t="s">
        <v>3</v>
      </c>
      <c r="E8" s="2"/>
    </row>
    <row r="9" spans="3:16" ht="28.05" customHeight="1">
      <c r="C9" s="12" t="s">
        <v>4</v>
      </c>
      <c r="D9" s="13" t="s">
        <v>890</v>
      </c>
      <c r="E9" s="2"/>
    </row>
    <row r="10" spans="3:16">
      <c r="C10" s="2" t="s">
        <v>5</v>
      </c>
      <c r="D10" s="97">
        <v>46211</v>
      </c>
      <c r="E10" s="2"/>
    </row>
    <row r="11" spans="3:16">
      <c r="C11" s="5" t="s">
        <v>6</v>
      </c>
      <c r="D11" s="5" t="s">
        <v>7</v>
      </c>
      <c r="E11" s="5" t="s">
        <v>891</v>
      </c>
    </row>
    <row r="12" spans="3:16">
      <c r="C12" s="6" t="s">
        <v>8</v>
      </c>
      <c r="D12" s="6" t="s">
        <v>9</v>
      </c>
      <c r="E12" s="6" t="s">
        <v>10</v>
      </c>
    </row>
    <row r="13" spans="3:16">
      <c r="C13" s="7" t="s">
        <v>11</v>
      </c>
      <c r="D13" s="7" t="s">
        <v>12</v>
      </c>
      <c r="E13" s="7" t="s">
        <v>892</v>
      </c>
    </row>
    <row r="14" spans="3:16">
      <c r="C14" s="7" t="s">
        <v>13</v>
      </c>
      <c r="D14" s="7" t="s">
        <v>14</v>
      </c>
      <c r="E14" s="7" t="s">
        <v>892</v>
      </c>
    </row>
    <row r="15" spans="3:16">
      <c r="C15" s="7" t="s">
        <v>15</v>
      </c>
      <c r="D15" s="7" t="s">
        <v>16</v>
      </c>
      <c r="E15" s="7" t="s">
        <v>10</v>
      </c>
    </row>
    <row r="16" spans="3:16">
      <c r="C16" s="7" t="s">
        <v>17</v>
      </c>
      <c r="D16" s="7" t="s">
        <v>18</v>
      </c>
      <c r="E16" s="7" t="s">
        <v>10</v>
      </c>
    </row>
    <row r="17" spans="3:5">
      <c r="C17" s="7" t="s">
        <v>19</v>
      </c>
      <c r="D17" s="7" t="s">
        <v>20</v>
      </c>
      <c r="E17" s="7" t="s">
        <v>10</v>
      </c>
    </row>
    <row r="18" spans="3:5">
      <c r="C18" s="7" t="s">
        <v>21</v>
      </c>
      <c r="D18" s="7" t="s">
        <v>22</v>
      </c>
      <c r="E18" s="7" t="s">
        <v>10</v>
      </c>
    </row>
    <row r="19" spans="3:5">
      <c r="C19" s="8" t="s">
        <v>23</v>
      </c>
      <c r="D19" s="8" t="s">
        <v>24</v>
      </c>
      <c r="E19" s="8" t="s">
        <v>10</v>
      </c>
    </row>
    <row r="20" spans="3:5">
      <c r="C20" s="2"/>
      <c r="D20" s="2"/>
      <c r="E20" s="2"/>
    </row>
    <row r="21" spans="3:5" ht="34.049999999999997" customHeight="1">
      <c r="C21" s="12" t="s">
        <v>25</v>
      </c>
      <c r="D21" s="13" t="s">
        <v>26</v>
      </c>
      <c r="E21" s="2"/>
    </row>
    <row r="22" spans="3:5" ht="34.049999999999997" customHeight="1">
      <c r="C22" s="14" t="s">
        <v>27</v>
      </c>
      <c r="D22" s="15" t="s">
        <v>28</v>
      </c>
      <c r="E22" s="2"/>
    </row>
    <row r="23" spans="3:5" ht="34.049999999999997" customHeight="1">
      <c r="C23" s="12" t="s">
        <v>29</v>
      </c>
      <c r="D23" s="13" t="s">
        <v>893</v>
      </c>
      <c r="E23" s="2"/>
    </row>
    <row r="24" spans="3:5" ht="34.049999999999997" customHeight="1">
      <c r="C24" s="12" t="s">
        <v>30</v>
      </c>
      <c r="D24" s="13" t="s">
        <v>31</v>
      </c>
      <c r="E24" s="2"/>
    </row>
    <row r="25" spans="3:5" ht="34.049999999999997" customHeight="1">
      <c r="C25" s="12" t="s">
        <v>32</v>
      </c>
      <c r="D25" s="13" t="s">
        <v>33</v>
      </c>
      <c r="E25" s="2"/>
    </row>
    <row r="26" spans="3:5">
      <c r="C26" s="2"/>
      <c r="D26" s="2"/>
      <c r="E26" s="2"/>
    </row>
    <row r="27" spans="3:5">
      <c r="C27" s="2"/>
      <c r="D27" s="2"/>
      <c r="E27" s="2"/>
    </row>
    <row r="28" spans="3:5">
      <c r="C28" s="5" t="s">
        <v>34</v>
      </c>
      <c r="D28" s="5" t="s">
        <v>35</v>
      </c>
      <c r="E28" s="2"/>
    </row>
    <row r="29" spans="3:5">
      <c r="C29" s="9" t="s">
        <v>36</v>
      </c>
      <c r="D29" s="2" t="s">
        <v>37</v>
      </c>
      <c r="E29" s="2"/>
    </row>
    <row r="30" spans="3:5">
      <c r="C30" s="10" t="s">
        <v>38</v>
      </c>
      <c r="D30" s="2" t="s">
        <v>39</v>
      </c>
      <c r="E30" s="2"/>
    </row>
    <row r="31" spans="3:5">
      <c r="C31" s="11" t="s">
        <v>40</v>
      </c>
      <c r="D31" s="2" t="s">
        <v>41</v>
      </c>
      <c r="E31" s="2"/>
    </row>
    <row r="32" spans="3:5">
      <c r="C32" s="2" t="s">
        <v>42</v>
      </c>
      <c r="D32" s="2" t="s">
        <v>43</v>
      </c>
      <c r="E32" s="2"/>
    </row>
    <row r="33" spans="3:5">
      <c r="C33" s="2"/>
      <c r="D33" s="2"/>
      <c r="E33" s="2"/>
    </row>
    <row r="34" spans="3:5">
      <c r="C34" s="4" t="s">
        <v>44</v>
      </c>
      <c r="D34" s="2" t="s">
        <v>45</v>
      </c>
      <c r="E34" s="2"/>
    </row>
    <row r="35" spans="3:5">
      <c r="C35" s="4" t="s">
        <v>46</v>
      </c>
      <c r="D35" s="2" t="s">
        <v>47</v>
      </c>
      <c r="E35" s="2"/>
    </row>
  </sheetData>
  <mergeCells count="2">
    <mergeCell ref="C2:P2"/>
    <mergeCell ref="C4:P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A6A6"/>
  </sheetPr>
  <dimension ref="C2:J230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3.5"/>
  <cols>
    <col min="3" max="3" width="16" customWidth="1"/>
    <col min="4" max="4" width="13" customWidth="1"/>
    <col min="5" max="5" width="24" customWidth="1"/>
    <col min="6" max="6" width="28" customWidth="1"/>
    <col min="7" max="7" width="20" customWidth="1"/>
    <col min="8" max="8" width="65" customWidth="1"/>
    <col min="9" max="9" width="23" customWidth="1"/>
    <col min="10" max="10" width="65" customWidth="1"/>
  </cols>
  <sheetData>
    <row r="2" spans="3:10" ht="25.05" customHeight="1">
      <c r="C2" s="3" t="s">
        <v>48</v>
      </c>
      <c r="D2" s="3"/>
      <c r="E2" s="3"/>
      <c r="F2" s="3"/>
      <c r="G2" s="3"/>
      <c r="H2" s="3"/>
      <c r="I2" s="3"/>
      <c r="J2" s="3"/>
    </row>
    <row r="3" spans="3:10">
      <c r="C3" s="16" t="s">
        <v>49</v>
      </c>
      <c r="D3" s="16"/>
      <c r="E3" s="16"/>
      <c r="F3" s="16"/>
      <c r="G3" s="16"/>
      <c r="H3" s="16"/>
      <c r="I3" s="16"/>
      <c r="J3" s="16"/>
    </row>
    <row r="4" spans="3:10">
      <c r="C4" s="2"/>
      <c r="D4" s="2"/>
      <c r="E4" s="2"/>
      <c r="F4" s="2"/>
      <c r="G4" s="2"/>
      <c r="H4" s="2"/>
      <c r="I4" s="2"/>
      <c r="J4" s="2"/>
    </row>
    <row r="5" spans="3:10">
      <c r="C5" s="16" t="s">
        <v>50</v>
      </c>
      <c r="D5" s="16"/>
      <c r="E5" s="16"/>
      <c r="F5" s="16"/>
      <c r="G5" s="16"/>
      <c r="H5" s="16"/>
      <c r="I5" s="16"/>
      <c r="J5" s="16"/>
    </row>
    <row r="6" spans="3:10">
      <c r="C6" s="2"/>
      <c r="D6" s="2"/>
      <c r="E6" s="2"/>
      <c r="F6" s="2"/>
      <c r="G6" s="2"/>
      <c r="H6" s="2"/>
      <c r="I6" s="2"/>
      <c r="J6" s="2"/>
    </row>
    <row r="7" spans="3:10" ht="34.049999999999997" customHeight="1">
      <c r="C7" s="17" t="s">
        <v>51</v>
      </c>
      <c r="D7" s="17" t="s">
        <v>52</v>
      </c>
      <c r="E7" s="17" t="s">
        <v>53</v>
      </c>
      <c r="F7" s="17" t="s">
        <v>54</v>
      </c>
      <c r="G7" s="17" t="s">
        <v>55</v>
      </c>
      <c r="H7" s="2"/>
      <c r="I7" s="2"/>
      <c r="J7" s="2"/>
    </row>
    <row r="8" spans="3:10">
      <c r="C8" s="18" t="s">
        <v>3</v>
      </c>
      <c r="D8" s="20">
        <v>45658</v>
      </c>
      <c r="E8" s="18" t="s">
        <v>56</v>
      </c>
      <c r="F8" s="18" t="s">
        <v>57</v>
      </c>
      <c r="G8" s="22">
        <v>223203.5</v>
      </c>
      <c r="H8" s="2"/>
      <c r="I8" s="2"/>
      <c r="J8" s="2"/>
    </row>
    <row r="9" spans="3:10">
      <c r="C9" s="18" t="s">
        <v>3</v>
      </c>
      <c r="D9" s="20">
        <v>45658</v>
      </c>
      <c r="E9" s="18" t="s">
        <v>58</v>
      </c>
      <c r="F9" s="18" t="s">
        <v>59</v>
      </c>
      <c r="G9" s="22">
        <v>18834.45</v>
      </c>
      <c r="H9" s="2"/>
      <c r="I9" s="2"/>
      <c r="J9" s="2"/>
    </row>
    <row r="10" spans="3:10">
      <c r="C10" s="18" t="s">
        <v>3</v>
      </c>
      <c r="D10" s="20">
        <v>45658</v>
      </c>
      <c r="E10" s="18" t="s">
        <v>60</v>
      </c>
      <c r="F10" s="18" t="s">
        <v>61</v>
      </c>
      <c r="G10" s="22">
        <v>28458</v>
      </c>
      <c r="H10" s="2"/>
      <c r="I10" s="2"/>
      <c r="J10" s="2"/>
    </row>
    <row r="11" spans="3:10">
      <c r="C11" s="18" t="s">
        <v>3</v>
      </c>
      <c r="D11" s="20">
        <v>45658</v>
      </c>
      <c r="E11" s="18" t="s">
        <v>62</v>
      </c>
      <c r="F11" s="18" t="s">
        <v>63</v>
      </c>
      <c r="G11" s="22">
        <v>8928.14</v>
      </c>
      <c r="H11" s="2"/>
      <c r="I11" s="2"/>
      <c r="J11" s="2"/>
    </row>
    <row r="12" spans="3:10">
      <c r="C12" s="18" t="s">
        <v>3</v>
      </c>
      <c r="D12" s="20">
        <v>45658</v>
      </c>
      <c r="E12" s="18" t="s">
        <v>64</v>
      </c>
      <c r="F12" s="18" t="s">
        <v>65</v>
      </c>
      <c r="G12" s="22">
        <v>28750</v>
      </c>
      <c r="H12" s="2"/>
      <c r="I12" s="2"/>
      <c r="J12" s="2"/>
    </row>
    <row r="13" spans="3:10">
      <c r="C13" s="18" t="s">
        <v>3</v>
      </c>
      <c r="D13" s="20">
        <v>45658</v>
      </c>
      <c r="E13" s="18" t="s">
        <v>66</v>
      </c>
      <c r="F13" s="18" t="s">
        <v>67</v>
      </c>
      <c r="G13" s="22">
        <v>76000</v>
      </c>
      <c r="H13" s="2"/>
      <c r="I13" s="2"/>
      <c r="J13" s="2"/>
    </row>
    <row r="14" spans="3:10">
      <c r="C14" s="18" t="s">
        <v>3</v>
      </c>
      <c r="D14" s="20">
        <v>45658</v>
      </c>
      <c r="E14" s="18" t="s">
        <v>68</v>
      </c>
      <c r="F14" s="18" t="s">
        <v>69</v>
      </c>
      <c r="G14" s="22">
        <v>26800</v>
      </c>
      <c r="H14" s="2"/>
      <c r="I14" s="2"/>
      <c r="J14" s="2"/>
    </row>
    <row r="15" spans="3:10">
      <c r="C15" s="18" t="s">
        <v>3</v>
      </c>
      <c r="D15" s="20">
        <v>45658</v>
      </c>
      <c r="E15" s="18" t="s">
        <v>70</v>
      </c>
      <c r="F15" s="18" t="s">
        <v>71</v>
      </c>
      <c r="G15" s="22">
        <v>9000</v>
      </c>
      <c r="H15" s="2"/>
      <c r="I15" s="2"/>
      <c r="J15" s="2"/>
    </row>
    <row r="16" spans="3:10">
      <c r="C16" s="18" t="s">
        <v>3</v>
      </c>
      <c r="D16" s="20">
        <v>45689</v>
      </c>
      <c r="E16" s="18" t="s">
        <v>56</v>
      </c>
      <c r="F16" s="18" t="s">
        <v>57</v>
      </c>
      <c r="G16" s="22">
        <v>221271</v>
      </c>
      <c r="H16" s="2"/>
      <c r="I16" s="2"/>
      <c r="J16" s="2"/>
    </row>
    <row r="17" spans="3:10">
      <c r="C17" s="18" t="s">
        <v>3</v>
      </c>
      <c r="D17" s="20">
        <v>45689</v>
      </c>
      <c r="E17" s="18" t="s">
        <v>58</v>
      </c>
      <c r="F17" s="18" t="s">
        <v>59</v>
      </c>
      <c r="G17" s="22">
        <v>18110.400000000001</v>
      </c>
      <c r="H17" s="2"/>
      <c r="I17" s="2"/>
      <c r="J17" s="2"/>
    </row>
    <row r="18" spans="3:10">
      <c r="C18" s="18" t="s">
        <v>3</v>
      </c>
      <c r="D18" s="20">
        <v>45689</v>
      </c>
      <c r="E18" s="18" t="s">
        <v>60</v>
      </c>
      <c r="F18" s="18" t="s">
        <v>61</v>
      </c>
      <c r="G18" s="22">
        <v>28028</v>
      </c>
      <c r="H18" s="2"/>
      <c r="I18" s="2"/>
      <c r="J18" s="2"/>
    </row>
    <row r="19" spans="3:10">
      <c r="C19" s="18" t="s">
        <v>3</v>
      </c>
      <c r="D19" s="20">
        <v>45689</v>
      </c>
      <c r="E19" s="18" t="s">
        <v>62</v>
      </c>
      <c r="F19" s="18" t="s">
        <v>63</v>
      </c>
      <c r="G19" s="22">
        <v>8850.84</v>
      </c>
      <c r="H19" s="2"/>
      <c r="I19" s="2"/>
      <c r="J19" s="2"/>
    </row>
    <row r="20" spans="3:10">
      <c r="C20" s="18" t="s">
        <v>3</v>
      </c>
      <c r="D20" s="20">
        <v>45689</v>
      </c>
      <c r="E20" s="18" t="s">
        <v>64</v>
      </c>
      <c r="F20" s="18" t="s">
        <v>65</v>
      </c>
      <c r="G20" s="22">
        <v>28800</v>
      </c>
      <c r="H20" s="2"/>
      <c r="I20" s="2"/>
      <c r="J20" s="2"/>
    </row>
    <row r="21" spans="3:10">
      <c r="C21" s="18" t="s">
        <v>3</v>
      </c>
      <c r="D21" s="20">
        <v>45689</v>
      </c>
      <c r="E21" s="18" t="s">
        <v>66</v>
      </c>
      <c r="F21" s="18" t="s">
        <v>67</v>
      </c>
      <c r="G21" s="22">
        <v>76000</v>
      </c>
      <c r="H21" s="2"/>
      <c r="I21" s="2"/>
      <c r="J21" s="2"/>
    </row>
    <row r="22" spans="3:10">
      <c r="C22" s="18" t="s">
        <v>3</v>
      </c>
      <c r="D22" s="20">
        <v>45689</v>
      </c>
      <c r="E22" s="18" t="s">
        <v>68</v>
      </c>
      <c r="F22" s="18" t="s">
        <v>69</v>
      </c>
      <c r="G22" s="22">
        <v>26950</v>
      </c>
      <c r="H22" s="2"/>
      <c r="I22" s="2"/>
      <c r="J22" s="2"/>
    </row>
    <row r="23" spans="3:10">
      <c r="C23" s="18" t="s">
        <v>3</v>
      </c>
      <c r="D23" s="20">
        <v>45689</v>
      </c>
      <c r="E23" s="18" t="s">
        <v>70</v>
      </c>
      <c r="F23" s="18" t="s">
        <v>71</v>
      </c>
      <c r="G23" s="22">
        <v>8500</v>
      </c>
      <c r="H23" s="2"/>
      <c r="I23" s="2"/>
      <c r="J23" s="2"/>
    </row>
    <row r="24" spans="3:10">
      <c r="C24" s="18" t="s">
        <v>3</v>
      </c>
      <c r="D24" s="20">
        <v>45717</v>
      </c>
      <c r="E24" s="18" t="s">
        <v>56</v>
      </c>
      <c r="F24" s="18" t="s">
        <v>57</v>
      </c>
      <c r="G24" s="22">
        <v>289432.5</v>
      </c>
      <c r="H24" s="2"/>
      <c r="I24" s="2"/>
      <c r="J24" s="2"/>
    </row>
    <row r="25" spans="3:10">
      <c r="C25" s="18" t="s">
        <v>3</v>
      </c>
      <c r="D25" s="20">
        <v>45717</v>
      </c>
      <c r="E25" s="18" t="s">
        <v>58</v>
      </c>
      <c r="F25" s="18" t="s">
        <v>59</v>
      </c>
      <c r="G25" s="22">
        <v>22610.86</v>
      </c>
      <c r="H25" s="2"/>
      <c r="I25" s="2"/>
      <c r="J25" s="2"/>
    </row>
    <row r="26" spans="3:10">
      <c r="C26" s="18" t="s">
        <v>3</v>
      </c>
      <c r="D26" s="20">
        <v>45717</v>
      </c>
      <c r="E26" s="18" t="s">
        <v>60</v>
      </c>
      <c r="F26" s="18" t="s">
        <v>61</v>
      </c>
      <c r="G26" s="22">
        <v>35935.199999999997</v>
      </c>
      <c r="H26" s="2"/>
      <c r="I26" s="2"/>
      <c r="J26" s="2"/>
    </row>
    <row r="27" spans="3:10">
      <c r="C27" s="18" t="s">
        <v>3</v>
      </c>
      <c r="D27" s="20">
        <v>45717</v>
      </c>
      <c r="E27" s="18" t="s">
        <v>62</v>
      </c>
      <c r="F27" s="18" t="s">
        <v>63</v>
      </c>
      <c r="G27" s="22">
        <v>11577.3</v>
      </c>
      <c r="H27" s="2"/>
      <c r="I27" s="2"/>
      <c r="J27" s="2"/>
    </row>
    <row r="28" spans="3:10">
      <c r="C28" s="18" t="s">
        <v>3</v>
      </c>
      <c r="D28" s="20">
        <v>45717</v>
      </c>
      <c r="E28" s="18" t="s">
        <v>64</v>
      </c>
      <c r="F28" s="18" t="s">
        <v>65</v>
      </c>
      <c r="G28" s="22">
        <v>28322</v>
      </c>
      <c r="H28" s="2"/>
      <c r="I28" s="2"/>
      <c r="J28" s="2"/>
    </row>
    <row r="29" spans="3:10">
      <c r="C29" s="18" t="s">
        <v>3</v>
      </c>
      <c r="D29" s="20">
        <v>45717</v>
      </c>
      <c r="E29" s="18" t="s">
        <v>66</v>
      </c>
      <c r="F29" s="18" t="s">
        <v>67</v>
      </c>
      <c r="G29" s="22">
        <v>76000</v>
      </c>
      <c r="H29" s="2"/>
      <c r="I29" s="2"/>
      <c r="J29" s="2"/>
    </row>
    <row r="30" spans="3:10">
      <c r="C30" s="18" t="s">
        <v>3</v>
      </c>
      <c r="D30" s="20">
        <v>45717</v>
      </c>
      <c r="E30" s="18" t="s">
        <v>68</v>
      </c>
      <c r="F30" s="18" t="s">
        <v>69</v>
      </c>
      <c r="G30" s="22">
        <v>27100</v>
      </c>
      <c r="H30" s="2"/>
      <c r="I30" s="2"/>
      <c r="J30" s="2"/>
    </row>
    <row r="31" spans="3:10">
      <c r="C31" s="18" t="s">
        <v>3</v>
      </c>
      <c r="D31" s="20">
        <v>45717</v>
      </c>
      <c r="E31" s="18" t="s">
        <v>70</v>
      </c>
      <c r="F31" s="18" t="s">
        <v>71</v>
      </c>
      <c r="G31" s="22">
        <v>10500</v>
      </c>
      <c r="H31" s="2"/>
      <c r="I31" s="2"/>
      <c r="J31" s="2"/>
    </row>
    <row r="32" spans="3:10">
      <c r="C32" s="18" t="s">
        <v>3</v>
      </c>
      <c r="D32" s="20">
        <v>45748</v>
      </c>
      <c r="E32" s="18" t="s">
        <v>56</v>
      </c>
      <c r="F32" s="18" t="s">
        <v>57</v>
      </c>
      <c r="G32" s="22">
        <v>306507</v>
      </c>
      <c r="H32" s="2"/>
      <c r="I32" s="2"/>
      <c r="J32" s="2"/>
    </row>
    <row r="33" spans="3:10">
      <c r="C33" s="18" t="s">
        <v>3</v>
      </c>
      <c r="D33" s="20">
        <v>45748</v>
      </c>
      <c r="E33" s="18" t="s">
        <v>58</v>
      </c>
      <c r="F33" s="18" t="s">
        <v>59</v>
      </c>
      <c r="G33" s="22">
        <v>23436.6</v>
      </c>
      <c r="H33" s="2"/>
      <c r="I33" s="2"/>
      <c r="J33" s="2"/>
    </row>
    <row r="34" spans="3:10">
      <c r="C34" s="18" t="s">
        <v>3</v>
      </c>
      <c r="D34" s="20">
        <v>45748</v>
      </c>
      <c r="E34" s="18" t="s">
        <v>60</v>
      </c>
      <c r="F34" s="18" t="s">
        <v>61</v>
      </c>
      <c r="G34" s="22">
        <v>37386</v>
      </c>
      <c r="H34" s="2"/>
      <c r="I34" s="2"/>
      <c r="J34" s="2"/>
    </row>
    <row r="35" spans="3:10">
      <c r="C35" s="18" t="s">
        <v>3</v>
      </c>
      <c r="D35" s="20">
        <v>45748</v>
      </c>
      <c r="E35" s="18" t="s">
        <v>62</v>
      </c>
      <c r="F35" s="18" t="s">
        <v>63</v>
      </c>
      <c r="G35" s="22">
        <v>12260.28</v>
      </c>
      <c r="H35" s="2"/>
      <c r="I35" s="2"/>
      <c r="J35" s="2"/>
    </row>
    <row r="36" spans="3:10">
      <c r="C36" s="18" t="s">
        <v>3</v>
      </c>
      <c r="D36" s="20">
        <v>45748</v>
      </c>
      <c r="E36" s="18" t="s">
        <v>64</v>
      </c>
      <c r="F36" s="18" t="s">
        <v>65</v>
      </c>
      <c r="G36" s="22">
        <v>29000</v>
      </c>
      <c r="H36" s="2"/>
      <c r="I36" s="2"/>
      <c r="J36" s="2"/>
    </row>
    <row r="37" spans="3:10">
      <c r="C37" s="18" t="s">
        <v>3</v>
      </c>
      <c r="D37" s="20">
        <v>45748</v>
      </c>
      <c r="E37" s="18" t="s">
        <v>66</v>
      </c>
      <c r="F37" s="18" t="s">
        <v>67</v>
      </c>
      <c r="G37" s="22">
        <v>76000</v>
      </c>
      <c r="H37" s="2"/>
      <c r="I37" s="2"/>
      <c r="J37" s="2"/>
    </row>
    <row r="38" spans="3:10">
      <c r="C38" s="18" t="s">
        <v>3</v>
      </c>
      <c r="D38" s="20">
        <v>45748</v>
      </c>
      <c r="E38" s="18" t="s">
        <v>68</v>
      </c>
      <c r="F38" s="18" t="s">
        <v>69</v>
      </c>
      <c r="G38" s="22">
        <v>27250</v>
      </c>
      <c r="H38" s="2"/>
      <c r="I38" s="2"/>
      <c r="J38" s="2"/>
    </row>
    <row r="39" spans="3:10">
      <c r="C39" s="18" t="s">
        <v>3</v>
      </c>
      <c r="D39" s="20">
        <v>45748</v>
      </c>
      <c r="E39" s="18" t="s">
        <v>70</v>
      </c>
      <c r="F39" s="18" t="s">
        <v>71</v>
      </c>
      <c r="G39" s="22">
        <v>12000</v>
      </c>
      <c r="H39" s="2"/>
      <c r="I39" s="2"/>
      <c r="J39" s="2"/>
    </row>
    <row r="40" spans="3:10">
      <c r="C40" s="18" t="s">
        <v>3</v>
      </c>
      <c r="D40" s="20">
        <v>45778</v>
      </c>
      <c r="E40" s="18" t="s">
        <v>56</v>
      </c>
      <c r="F40" s="18" t="s">
        <v>57</v>
      </c>
      <c r="G40" s="22">
        <v>359046</v>
      </c>
      <c r="H40" s="2"/>
      <c r="I40" s="2"/>
      <c r="J40" s="2"/>
    </row>
    <row r="41" spans="3:10">
      <c r="C41" s="18" t="s">
        <v>3</v>
      </c>
      <c r="D41" s="20">
        <v>45778</v>
      </c>
      <c r="E41" s="18" t="s">
        <v>58</v>
      </c>
      <c r="F41" s="18" t="s">
        <v>59</v>
      </c>
      <c r="G41" s="22">
        <v>25137.9</v>
      </c>
      <c r="H41" s="2"/>
      <c r="I41" s="2"/>
      <c r="J41" s="2"/>
    </row>
    <row r="42" spans="3:10">
      <c r="C42" s="18" t="s">
        <v>3</v>
      </c>
      <c r="D42" s="20">
        <v>45778</v>
      </c>
      <c r="E42" s="18" t="s">
        <v>60</v>
      </c>
      <c r="F42" s="18" t="s">
        <v>61</v>
      </c>
      <c r="G42" s="22">
        <v>42184.800000000003</v>
      </c>
      <c r="H42" s="2"/>
      <c r="I42" s="2"/>
      <c r="J42" s="2"/>
    </row>
    <row r="43" spans="3:10">
      <c r="C43" s="18" t="s">
        <v>3</v>
      </c>
      <c r="D43" s="20">
        <v>45778</v>
      </c>
      <c r="E43" s="18" t="s">
        <v>62</v>
      </c>
      <c r="F43" s="18" t="s">
        <v>63</v>
      </c>
      <c r="G43" s="22">
        <v>14361.84</v>
      </c>
      <c r="H43" s="2"/>
      <c r="I43" s="2"/>
      <c r="J43" s="2"/>
    </row>
    <row r="44" spans="3:10">
      <c r="C44" s="18" t="s">
        <v>3</v>
      </c>
      <c r="D44" s="20">
        <v>45778</v>
      </c>
      <c r="E44" s="18" t="s">
        <v>64</v>
      </c>
      <c r="F44" s="18" t="s">
        <v>65</v>
      </c>
      <c r="G44" s="22">
        <v>29100</v>
      </c>
      <c r="H44" s="2"/>
      <c r="I44" s="2"/>
      <c r="J44" s="2"/>
    </row>
    <row r="45" spans="3:10">
      <c r="C45" s="18" t="s">
        <v>3</v>
      </c>
      <c r="D45" s="20">
        <v>45778</v>
      </c>
      <c r="E45" s="18" t="s">
        <v>66</v>
      </c>
      <c r="F45" s="18" t="s">
        <v>67</v>
      </c>
      <c r="G45" s="22">
        <v>76000</v>
      </c>
      <c r="H45" s="2"/>
      <c r="I45" s="2"/>
      <c r="J45" s="2"/>
    </row>
    <row r="46" spans="3:10">
      <c r="C46" s="18" t="s">
        <v>3</v>
      </c>
      <c r="D46" s="20">
        <v>45778</v>
      </c>
      <c r="E46" s="18" t="s">
        <v>68</v>
      </c>
      <c r="F46" s="18" t="s">
        <v>69</v>
      </c>
      <c r="G46" s="22">
        <v>27600</v>
      </c>
      <c r="H46" s="2"/>
      <c r="I46" s="2"/>
      <c r="J46" s="2"/>
    </row>
    <row r="47" spans="3:10">
      <c r="C47" s="18" t="s">
        <v>3</v>
      </c>
      <c r="D47" s="20">
        <v>45778</v>
      </c>
      <c r="E47" s="18" t="s">
        <v>70</v>
      </c>
      <c r="F47" s="18" t="s">
        <v>71</v>
      </c>
      <c r="G47" s="22">
        <v>13500</v>
      </c>
      <c r="H47" s="2"/>
      <c r="I47" s="2"/>
      <c r="J47" s="2"/>
    </row>
    <row r="48" spans="3:10">
      <c r="C48" s="18" t="s">
        <v>3</v>
      </c>
      <c r="D48" s="20">
        <v>45809</v>
      </c>
      <c r="E48" s="18" t="s">
        <v>56</v>
      </c>
      <c r="F48" s="18" t="s">
        <v>57</v>
      </c>
      <c r="G48" s="22">
        <v>376115</v>
      </c>
      <c r="H48" s="2"/>
      <c r="I48" s="2"/>
      <c r="J48" s="2"/>
    </row>
    <row r="49" spans="3:10">
      <c r="C49" s="18" t="s">
        <v>3</v>
      </c>
      <c r="D49" s="20">
        <v>45809</v>
      </c>
      <c r="E49" s="18" t="s">
        <v>58</v>
      </c>
      <c r="F49" s="18" t="s">
        <v>59</v>
      </c>
      <c r="G49" s="22">
        <v>25738.92</v>
      </c>
      <c r="H49" s="2"/>
      <c r="I49" s="2"/>
      <c r="J49" s="2"/>
    </row>
    <row r="50" spans="3:10">
      <c r="C50" s="18" t="s">
        <v>3</v>
      </c>
      <c r="D50" s="20">
        <v>45809</v>
      </c>
      <c r="E50" s="18" t="s">
        <v>60</v>
      </c>
      <c r="F50" s="18" t="s">
        <v>61</v>
      </c>
      <c r="G50" s="22">
        <v>43548</v>
      </c>
      <c r="H50" s="2"/>
      <c r="I50" s="2"/>
      <c r="J50" s="2"/>
    </row>
    <row r="51" spans="3:10">
      <c r="C51" s="18" t="s">
        <v>3</v>
      </c>
      <c r="D51" s="20">
        <v>45809</v>
      </c>
      <c r="E51" s="18" t="s">
        <v>62</v>
      </c>
      <c r="F51" s="18" t="s">
        <v>63</v>
      </c>
      <c r="G51" s="22">
        <v>15044.6</v>
      </c>
      <c r="H51" s="2"/>
      <c r="I51" s="2"/>
      <c r="J51" s="2"/>
    </row>
    <row r="52" spans="3:10">
      <c r="C52" s="18" t="s">
        <v>3</v>
      </c>
      <c r="D52" s="20">
        <v>45809</v>
      </c>
      <c r="E52" s="18" t="s">
        <v>64</v>
      </c>
      <c r="F52" s="18" t="s">
        <v>65</v>
      </c>
      <c r="G52" s="22">
        <v>29200</v>
      </c>
      <c r="H52" s="2"/>
      <c r="I52" s="2"/>
      <c r="J52" s="2"/>
    </row>
    <row r="53" spans="3:10">
      <c r="C53" s="18" t="s">
        <v>3</v>
      </c>
      <c r="D53" s="20">
        <v>45809</v>
      </c>
      <c r="E53" s="18" t="s">
        <v>66</v>
      </c>
      <c r="F53" s="18" t="s">
        <v>67</v>
      </c>
      <c r="G53" s="22">
        <v>76000</v>
      </c>
      <c r="H53" s="2"/>
      <c r="I53" s="2"/>
      <c r="J53" s="2"/>
    </row>
    <row r="54" spans="3:10">
      <c r="C54" s="18" t="s">
        <v>3</v>
      </c>
      <c r="D54" s="20">
        <v>45809</v>
      </c>
      <c r="E54" s="18" t="s">
        <v>68</v>
      </c>
      <c r="F54" s="18" t="s">
        <v>69</v>
      </c>
      <c r="G54" s="22">
        <v>27900</v>
      </c>
      <c r="H54" s="2"/>
      <c r="I54" s="2"/>
      <c r="J54" s="2"/>
    </row>
    <row r="55" spans="3:10">
      <c r="C55" s="18" t="s">
        <v>3</v>
      </c>
      <c r="D55" s="20">
        <v>45809</v>
      </c>
      <c r="E55" s="18" t="s">
        <v>70</v>
      </c>
      <c r="F55" s="18" t="s">
        <v>71</v>
      </c>
      <c r="G55" s="22">
        <v>17000</v>
      </c>
      <c r="H55" s="2"/>
      <c r="I55" s="2"/>
      <c r="J55" s="2"/>
    </row>
    <row r="56" spans="3:10">
      <c r="C56" s="18" t="s">
        <v>3</v>
      </c>
      <c r="D56" s="20">
        <v>45839</v>
      </c>
      <c r="E56" s="18" t="s">
        <v>56</v>
      </c>
      <c r="F56" s="18" t="s">
        <v>57</v>
      </c>
      <c r="G56" s="22">
        <v>444521</v>
      </c>
      <c r="H56" s="2"/>
      <c r="I56" s="2"/>
      <c r="J56" s="2"/>
    </row>
    <row r="57" spans="3:10">
      <c r="C57" s="18" t="s">
        <v>3</v>
      </c>
      <c r="D57" s="20">
        <v>45839</v>
      </c>
      <c r="E57" s="18" t="s">
        <v>58</v>
      </c>
      <c r="F57" s="18" t="s">
        <v>59</v>
      </c>
      <c r="G57" s="22">
        <v>27595.43</v>
      </c>
      <c r="H57" s="2"/>
      <c r="I57" s="2"/>
      <c r="J57" s="2"/>
    </row>
    <row r="58" spans="3:10">
      <c r="C58" s="18" t="s">
        <v>3</v>
      </c>
      <c r="D58" s="20">
        <v>45839</v>
      </c>
      <c r="E58" s="18" t="s">
        <v>60</v>
      </c>
      <c r="F58" s="18" t="s">
        <v>61</v>
      </c>
      <c r="G58" s="22">
        <v>49916.2</v>
      </c>
      <c r="H58" s="2"/>
      <c r="I58" s="2"/>
      <c r="J58" s="2"/>
    </row>
    <row r="59" spans="3:10">
      <c r="C59" s="18" t="s">
        <v>3</v>
      </c>
      <c r="D59" s="20">
        <v>45839</v>
      </c>
      <c r="E59" s="18" t="s">
        <v>62</v>
      </c>
      <c r="F59" s="18" t="s">
        <v>63</v>
      </c>
      <c r="G59" s="22">
        <v>17780.84</v>
      </c>
      <c r="H59" s="2"/>
      <c r="I59" s="2"/>
      <c r="J59" s="2"/>
    </row>
    <row r="60" spans="3:10">
      <c r="C60" s="18" t="s">
        <v>3</v>
      </c>
      <c r="D60" s="20">
        <v>45839</v>
      </c>
      <c r="E60" s="18" t="s">
        <v>64</v>
      </c>
      <c r="F60" s="18" t="s">
        <v>65</v>
      </c>
      <c r="G60" s="22">
        <v>29886</v>
      </c>
      <c r="H60" s="2"/>
      <c r="I60" s="2"/>
      <c r="J60" s="2"/>
    </row>
    <row r="61" spans="3:10">
      <c r="C61" s="18" t="s">
        <v>3</v>
      </c>
      <c r="D61" s="20">
        <v>45839</v>
      </c>
      <c r="E61" s="18" t="s">
        <v>66</v>
      </c>
      <c r="F61" s="18" t="s">
        <v>67</v>
      </c>
      <c r="G61" s="22">
        <v>76000</v>
      </c>
      <c r="H61" s="2"/>
      <c r="I61" s="2"/>
      <c r="J61" s="2"/>
    </row>
    <row r="62" spans="3:10">
      <c r="C62" s="18" t="s">
        <v>3</v>
      </c>
      <c r="D62" s="20">
        <v>45839</v>
      </c>
      <c r="E62" s="18" t="s">
        <v>68</v>
      </c>
      <c r="F62" s="18" t="s">
        <v>69</v>
      </c>
      <c r="G62" s="22">
        <v>28400</v>
      </c>
      <c r="H62" s="2"/>
      <c r="I62" s="2"/>
      <c r="J62" s="2"/>
    </row>
    <row r="63" spans="3:10">
      <c r="C63" s="18" t="s">
        <v>3</v>
      </c>
      <c r="D63" s="20">
        <v>45839</v>
      </c>
      <c r="E63" s="18" t="s">
        <v>70</v>
      </c>
      <c r="F63" s="18" t="s">
        <v>71</v>
      </c>
      <c r="G63" s="22">
        <v>19000</v>
      </c>
      <c r="H63" s="2"/>
      <c r="I63" s="2"/>
      <c r="J63" s="2"/>
    </row>
    <row r="64" spans="3:10">
      <c r="C64" s="18" t="s">
        <v>3</v>
      </c>
      <c r="D64" s="20">
        <v>45870</v>
      </c>
      <c r="E64" s="18" t="s">
        <v>56</v>
      </c>
      <c r="F64" s="18" t="s">
        <v>57</v>
      </c>
      <c r="G64" s="22">
        <v>421848</v>
      </c>
      <c r="H64" s="2"/>
      <c r="I64" s="2"/>
      <c r="J64" s="2"/>
    </row>
    <row r="65" spans="3:10">
      <c r="C65" s="18" t="s">
        <v>3</v>
      </c>
      <c r="D65" s="20">
        <v>45870</v>
      </c>
      <c r="E65" s="18" t="s">
        <v>58</v>
      </c>
      <c r="F65" s="18" t="s">
        <v>59</v>
      </c>
      <c r="G65" s="22">
        <v>27193.200000000001</v>
      </c>
      <c r="H65" s="2"/>
      <c r="I65" s="2"/>
      <c r="J65" s="2"/>
    </row>
    <row r="66" spans="3:10">
      <c r="C66" s="18" t="s">
        <v>3</v>
      </c>
      <c r="D66" s="20">
        <v>45870</v>
      </c>
      <c r="E66" s="18" t="s">
        <v>60</v>
      </c>
      <c r="F66" s="18" t="s">
        <v>61</v>
      </c>
      <c r="G66" s="22">
        <v>47864</v>
      </c>
      <c r="H66" s="2"/>
      <c r="I66" s="2"/>
      <c r="J66" s="2"/>
    </row>
    <row r="67" spans="3:10">
      <c r="C67" s="18" t="s">
        <v>3</v>
      </c>
      <c r="D67" s="20">
        <v>45870</v>
      </c>
      <c r="E67" s="18" t="s">
        <v>62</v>
      </c>
      <c r="F67" s="18" t="s">
        <v>63</v>
      </c>
      <c r="G67" s="22">
        <v>16873.919999999998</v>
      </c>
      <c r="H67" s="2"/>
      <c r="I67" s="2"/>
      <c r="J67" s="2"/>
    </row>
    <row r="68" spans="3:10">
      <c r="C68" s="18" t="s">
        <v>3</v>
      </c>
      <c r="D68" s="20">
        <v>45870</v>
      </c>
      <c r="E68" s="18" t="s">
        <v>64</v>
      </c>
      <c r="F68" s="18" t="s">
        <v>65</v>
      </c>
      <c r="G68" s="22">
        <v>29988</v>
      </c>
      <c r="H68" s="2"/>
      <c r="I68" s="2"/>
      <c r="J68" s="2"/>
    </row>
    <row r="69" spans="3:10">
      <c r="C69" s="18" t="s">
        <v>3</v>
      </c>
      <c r="D69" s="20">
        <v>45870</v>
      </c>
      <c r="E69" s="18" t="s">
        <v>66</v>
      </c>
      <c r="F69" s="18" t="s">
        <v>67</v>
      </c>
      <c r="G69" s="22">
        <v>76000</v>
      </c>
      <c r="H69" s="2"/>
      <c r="I69" s="2"/>
      <c r="J69" s="2"/>
    </row>
    <row r="70" spans="3:10">
      <c r="C70" s="18" t="s">
        <v>3</v>
      </c>
      <c r="D70" s="20">
        <v>45870</v>
      </c>
      <c r="E70" s="18" t="s">
        <v>68</v>
      </c>
      <c r="F70" s="18" t="s">
        <v>69</v>
      </c>
      <c r="G70" s="22">
        <v>28300</v>
      </c>
      <c r="H70" s="2"/>
      <c r="I70" s="2"/>
      <c r="J70" s="2"/>
    </row>
    <row r="71" spans="3:10">
      <c r="C71" s="18" t="s">
        <v>3</v>
      </c>
      <c r="D71" s="20">
        <v>45870</v>
      </c>
      <c r="E71" s="18" t="s">
        <v>70</v>
      </c>
      <c r="F71" s="18" t="s">
        <v>71</v>
      </c>
      <c r="G71" s="22">
        <v>16000</v>
      </c>
      <c r="H71" s="2"/>
      <c r="I71" s="2"/>
      <c r="J71" s="2"/>
    </row>
    <row r="72" spans="3:10">
      <c r="C72" s="18" t="s">
        <v>3</v>
      </c>
      <c r="D72" s="20">
        <v>45901</v>
      </c>
      <c r="E72" s="18" t="s">
        <v>56</v>
      </c>
      <c r="F72" s="18" t="s">
        <v>57</v>
      </c>
      <c r="G72" s="22">
        <v>340746</v>
      </c>
      <c r="H72" s="2"/>
      <c r="I72" s="2"/>
      <c r="J72" s="2"/>
    </row>
    <row r="73" spans="3:10">
      <c r="C73" s="18" t="s">
        <v>3</v>
      </c>
      <c r="D73" s="20">
        <v>45901</v>
      </c>
      <c r="E73" s="18" t="s">
        <v>58</v>
      </c>
      <c r="F73" s="18" t="s">
        <v>59</v>
      </c>
      <c r="G73" s="22">
        <v>24437.7</v>
      </c>
      <c r="H73" s="2"/>
      <c r="I73" s="2"/>
      <c r="J73" s="2"/>
    </row>
    <row r="74" spans="3:10">
      <c r="C74" s="18" t="s">
        <v>3</v>
      </c>
      <c r="D74" s="20">
        <v>45901</v>
      </c>
      <c r="E74" s="18" t="s">
        <v>60</v>
      </c>
      <c r="F74" s="18" t="s">
        <v>61</v>
      </c>
      <c r="G74" s="22">
        <v>39900</v>
      </c>
      <c r="H74" s="2"/>
      <c r="I74" s="2"/>
      <c r="J74" s="2"/>
    </row>
    <row r="75" spans="3:10">
      <c r="C75" s="18" t="s">
        <v>3</v>
      </c>
      <c r="D75" s="20">
        <v>45901</v>
      </c>
      <c r="E75" s="18" t="s">
        <v>62</v>
      </c>
      <c r="F75" s="18" t="s">
        <v>63</v>
      </c>
      <c r="G75" s="22">
        <v>13629.84</v>
      </c>
      <c r="H75" s="2"/>
      <c r="I75" s="2"/>
      <c r="J75" s="2"/>
    </row>
    <row r="76" spans="3:10">
      <c r="C76" s="18" t="s">
        <v>3</v>
      </c>
      <c r="D76" s="20">
        <v>45901</v>
      </c>
      <c r="E76" s="18" t="s">
        <v>64</v>
      </c>
      <c r="F76" s="18" t="s">
        <v>65</v>
      </c>
      <c r="G76" s="22">
        <v>29500</v>
      </c>
      <c r="H76" s="2"/>
      <c r="I76" s="2"/>
      <c r="J76" s="2"/>
    </row>
    <row r="77" spans="3:10">
      <c r="C77" s="18" t="s">
        <v>3</v>
      </c>
      <c r="D77" s="20">
        <v>45901</v>
      </c>
      <c r="E77" s="18" t="s">
        <v>66</v>
      </c>
      <c r="F77" s="18" t="s">
        <v>67</v>
      </c>
      <c r="G77" s="22">
        <v>76000</v>
      </c>
      <c r="H77" s="2"/>
      <c r="I77" s="2"/>
      <c r="J77" s="2"/>
    </row>
    <row r="78" spans="3:10">
      <c r="C78" s="18" t="s">
        <v>3</v>
      </c>
      <c r="D78" s="20">
        <v>45901</v>
      </c>
      <c r="E78" s="18" t="s">
        <v>68</v>
      </c>
      <c r="F78" s="18" t="s">
        <v>69</v>
      </c>
      <c r="G78" s="22">
        <v>27800</v>
      </c>
      <c r="H78" s="2"/>
      <c r="I78" s="2"/>
      <c r="J78" s="2"/>
    </row>
    <row r="79" spans="3:10">
      <c r="C79" s="18" t="s">
        <v>3</v>
      </c>
      <c r="D79" s="20">
        <v>45901</v>
      </c>
      <c r="E79" s="18" t="s">
        <v>70</v>
      </c>
      <c r="F79" s="18" t="s">
        <v>71</v>
      </c>
      <c r="G79" s="22">
        <v>11000</v>
      </c>
      <c r="H79" s="2"/>
      <c r="I79" s="2"/>
      <c r="J79" s="2"/>
    </row>
    <row r="80" spans="3:10">
      <c r="C80" s="18" t="s">
        <v>3</v>
      </c>
      <c r="D80" s="20">
        <v>45931</v>
      </c>
      <c r="E80" s="18" t="s">
        <v>56</v>
      </c>
      <c r="F80" s="18" t="s">
        <v>57</v>
      </c>
      <c r="G80" s="22">
        <v>334731.5</v>
      </c>
      <c r="H80" s="2"/>
      <c r="I80" s="2"/>
      <c r="J80" s="2"/>
    </row>
    <row r="81" spans="3:10">
      <c r="C81" s="18" t="s">
        <v>3</v>
      </c>
      <c r="D81" s="20">
        <v>45931</v>
      </c>
      <c r="E81" s="18" t="s">
        <v>58</v>
      </c>
      <c r="F81" s="18" t="s">
        <v>59</v>
      </c>
      <c r="G81" s="22">
        <v>24701.54</v>
      </c>
      <c r="H81" s="2"/>
      <c r="I81" s="2"/>
      <c r="J81" s="2"/>
    </row>
    <row r="82" spans="3:10">
      <c r="C82" s="18" t="s">
        <v>3</v>
      </c>
      <c r="D82" s="20">
        <v>45931</v>
      </c>
      <c r="E82" s="18" t="s">
        <v>60</v>
      </c>
      <c r="F82" s="18" t="s">
        <v>61</v>
      </c>
      <c r="G82" s="22">
        <v>39630.400000000001</v>
      </c>
      <c r="H82" s="2"/>
      <c r="I82" s="2"/>
      <c r="J82" s="2"/>
    </row>
    <row r="83" spans="3:10">
      <c r="C83" s="18" t="s">
        <v>3</v>
      </c>
      <c r="D83" s="20">
        <v>45931</v>
      </c>
      <c r="E83" s="18" t="s">
        <v>62</v>
      </c>
      <c r="F83" s="18" t="s">
        <v>63</v>
      </c>
      <c r="G83" s="22">
        <v>13389.26</v>
      </c>
      <c r="H83" s="2"/>
      <c r="I83" s="2"/>
      <c r="J83" s="2"/>
    </row>
    <row r="84" spans="3:10">
      <c r="C84" s="18" t="s">
        <v>3</v>
      </c>
      <c r="D84" s="20">
        <v>45931</v>
      </c>
      <c r="E84" s="18" t="s">
        <v>64</v>
      </c>
      <c r="F84" s="18" t="s">
        <v>65</v>
      </c>
      <c r="G84" s="22">
        <v>29600</v>
      </c>
      <c r="H84" s="2"/>
      <c r="I84" s="2"/>
      <c r="J84" s="2"/>
    </row>
    <row r="85" spans="3:10">
      <c r="C85" s="18" t="s">
        <v>3</v>
      </c>
      <c r="D85" s="20">
        <v>45931</v>
      </c>
      <c r="E85" s="18" t="s">
        <v>66</v>
      </c>
      <c r="F85" s="18" t="s">
        <v>67</v>
      </c>
      <c r="G85" s="22">
        <v>76000</v>
      </c>
      <c r="H85" s="2"/>
      <c r="I85" s="2"/>
      <c r="J85" s="2"/>
    </row>
    <row r="86" spans="3:10">
      <c r="C86" s="18" t="s">
        <v>3</v>
      </c>
      <c r="D86" s="20">
        <v>45931</v>
      </c>
      <c r="E86" s="18" t="s">
        <v>68</v>
      </c>
      <c r="F86" s="18" t="s">
        <v>69</v>
      </c>
      <c r="G86" s="22">
        <v>27500</v>
      </c>
      <c r="H86" s="2"/>
      <c r="I86" s="2"/>
      <c r="J86" s="2"/>
    </row>
    <row r="87" spans="3:10">
      <c r="C87" s="18" t="s">
        <v>3</v>
      </c>
      <c r="D87" s="20">
        <v>45931</v>
      </c>
      <c r="E87" s="18" t="s">
        <v>70</v>
      </c>
      <c r="F87" s="18" t="s">
        <v>71</v>
      </c>
      <c r="G87" s="22">
        <v>12500</v>
      </c>
      <c r="H87" s="2"/>
      <c r="I87" s="2"/>
      <c r="J87" s="2"/>
    </row>
    <row r="88" spans="3:10">
      <c r="C88" s="18" t="s">
        <v>3</v>
      </c>
      <c r="D88" s="20">
        <v>45962</v>
      </c>
      <c r="E88" s="18" t="s">
        <v>56</v>
      </c>
      <c r="F88" s="18" t="s">
        <v>57</v>
      </c>
      <c r="G88" s="22">
        <v>259487.5</v>
      </c>
      <c r="H88" s="2"/>
      <c r="I88" s="2"/>
      <c r="J88" s="2"/>
    </row>
    <row r="89" spans="3:10">
      <c r="C89" s="18" t="s">
        <v>3</v>
      </c>
      <c r="D89" s="20">
        <v>45962</v>
      </c>
      <c r="E89" s="18" t="s">
        <v>58</v>
      </c>
      <c r="F89" s="18" t="s">
        <v>59</v>
      </c>
      <c r="G89" s="22">
        <v>20814.75</v>
      </c>
      <c r="H89" s="2"/>
      <c r="I89" s="2"/>
      <c r="J89" s="2"/>
    </row>
    <row r="90" spans="3:10">
      <c r="C90" s="18" t="s">
        <v>3</v>
      </c>
      <c r="D90" s="20">
        <v>45962</v>
      </c>
      <c r="E90" s="18" t="s">
        <v>60</v>
      </c>
      <c r="F90" s="18" t="s">
        <v>61</v>
      </c>
      <c r="G90" s="22">
        <v>32190</v>
      </c>
      <c r="H90" s="2"/>
      <c r="I90" s="2"/>
      <c r="J90" s="2"/>
    </row>
    <row r="91" spans="3:10">
      <c r="C91" s="18" t="s">
        <v>3</v>
      </c>
      <c r="D91" s="20">
        <v>45962</v>
      </c>
      <c r="E91" s="18" t="s">
        <v>62</v>
      </c>
      <c r="F91" s="18" t="s">
        <v>63</v>
      </c>
      <c r="G91" s="22">
        <v>10379.5</v>
      </c>
      <c r="H91" s="2"/>
      <c r="I91" s="2"/>
      <c r="J91" s="2"/>
    </row>
    <row r="92" spans="3:10">
      <c r="C92" s="18" t="s">
        <v>3</v>
      </c>
      <c r="D92" s="20">
        <v>45962</v>
      </c>
      <c r="E92" s="18" t="s">
        <v>64</v>
      </c>
      <c r="F92" s="18" t="s">
        <v>65</v>
      </c>
      <c r="G92" s="22">
        <v>29700</v>
      </c>
      <c r="H92" s="2"/>
      <c r="I92" s="2"/>
      <c r="J92" s="2"/>
    </row>
    <row r="93" spans="3:10">
      <c r="C93" s="18" t="s">
        <v>3</v>
      </c>
      <c r="D93" s="20">
        <v>45962</v>
      </c>
      <c r="E93" s="18" t="s">
        <v>66</v>
      </c>
      <c r="F93" s="18" t="s">
        <v>67</v>
      </c>
      <c r="G93" s="22">
        <v>76000</v>
      </c>
      <c r="H93" s="2"/>
      <c r="I93" s="2"/>
      <c r="J93" s="2"/>
    </row>
    <row r="94" spans="3:10">
      <c r="C94" s="18" t="s">
        <v>3</v>
      </c>
      <c r="D94" s="20">
        <v>45962</v>
      </c>
      <c r="E94" s="18" t="s">
        <v>68</v>
      </c>
      <c r="F94" s="18" t="s">
        <v>69</v>
      </c>
      <c r="G94" s="22">
        <v>27100</v>
      </c>
      <c r="H94" s="2"/>
      <c r="I94" s="2"/>
      <c r="J94" s="2"/>
    </row>
    <row r="95" spans="3:10">
      <c r="C95" s="18" t="s">
        <v>3</v>
      </c>
      <c r="D95" s="20">
        <v>45962</v>
      </c>
      <c r="E95" s="18" t="s">
        <v>70</v>
      </c>
      <c r="F95" s="18" t="s">
        <v>71</v>
      </c>
      <c r="G95" s="22">
        <v>10500</v>
      </c>
      <c r="H95" s="2"/>
      <c r="I95" s="2"/>
      <c r="J95" s="2"/>
    </row>
    <row r="96" spans="3:10">
      <c r="C96" s="18" t="s">
        <v>3</v>
      </c>
      <c r="D96" s="20">
        <v>45992</v>
      </c>
      <c r="E96" s="18" t="s">
        <v>56</v>
      </c>
      <c r="F96" s="18" t="s">
        <v>57</v>
      </c>
      <c r="G96" s="22">
        <v>258145</v>
      </c>
      <c r="H96" s="2"/>
      <c r="I96" s="2"/>
      <c r="J96" s="2"/>
    </row>
    <row r="97" spans="3:10">
      <c r="C97" s="18" t="s">
        <v>3</v>
      </c>
      <c r="D97" s="20">
        <v>45992</v>
      </c>
      <c r="E97" s="18" t="s">
        <v>58</v>
      </c>
      <c r="F97" s="18" t="s">
        <v>59</v>
      </c>
      <c r="G97" s="22">
        <v>21186.33</v>
      </c>
      <c r="H97" s="2"/>
      <c r="I97" s="2"/>
      <c r="J97" s="2"/>
    </row>
    <row r="98" spans="3:10">
      <c r="C98" s="18" t="s">
        <v>3</v>
      </c>
      <c r="D98" s="20">
        <v>45992</v>
      </c>
      <c r="E98" s="18" t="s">
        <v>60</v>
      </c>
      <c r="F98" s="18" t="s">
        <v>61</v>
      </c>
      <c r="G98" s="22">
        <v>31883.5</v>
      </c>
      <c r="H98" s="2"/>
      <c r="I98" s="2"/>
      <c r="J98" s="2"/>
    </row>
    <row r="99" spans="3:10">
      <c r="C99" s="18" t="s">
        <v>3</v>
      </c>
      <c r="D99" s="20">
        <v>45992</v>
      </c>
      <c r="E99" s="18" t="s">
        <v>62</v>
      </c>
      <c r="F99" s="18" t="s">
        <v>63</v>
      </c>
      <c r="G99" s="22">
        <v>10325.799999999999</v>
      </c>
      <c r="H99" s="2"/>
      <c r="I99" s="2"/>
      <c r="J99" s="2"/>
    </row>
    <row r="100" spans="3:10">
      <c r="C100" s="18" t="s">
        <v>3</v>
      </c>
      <c r="D100" s="20">
        <v>45992</v>
      </c>
      <c r="E100" s="18" t="s">
        <v>64</v>
      </c>
      <c r="F100" s="18" t="s">
        <v>65</v>
      </c>
      <c r="G100" s="22">
        <v>29800</v>
      </c>
      <c r="H100" s="2"/>
      <c r="I100" s="2"/>
      <c r="J100" s="2"/>
    </row>
    <row r="101" spans="3:10">
      <c r="C101" s="18" t="s">
        <v>3</v>
      </c>
      <c r="D101" s="20">
        <v>45992</v>
      </c>
      <c r="E101" s="18" t="s">
        <v>66</v>
      </c>
      <c r="F101" s="18" t="s">
        <v>67</v>
      </c>
      <c r="G101" s="22">
        <v>76000</v>
      </c>
      <c r="H101" s="2"/>
      <c r="I101" s="2"/>
      <c r="J101" s="2"/>
    </row>
    <row r="102" spans="3:10">
      <c r="C102" s="18" t="s">
        <v>3</v>
      </c>
      <c r="D102" s="20">
        <v>45992</v>
      </c>
      <c r="E102" s="18" t="s">
        <v>68</v>
      </c>
      <c r="F102" s="18" t="s">
        <v>69</v>
      </c>
      <c r="G102" s="22">
        <v>27300</v>
      </c>
      <c r="H102" s="2"/>
      <c r="I102" s="2"/>
      <c r="J102" s="2"/>
    </row>
    <row r="103" spans="3:10">
      <c r="C103" s="18" t="s">
        <v>3</v>
      </c>
      <c r="D103" s="20">
        <v>45992</v>
      </c>
      <c r="E103" s="18" t="s">
        <v>70</v>
      </c>
      <c r="F103" s="18" t="s">
        <v>71</v>
      </c>
      <c r="G103" s="22">
        <v>15000</v>
      </c>
      <c r="H103" s="2"/>
      <c r="I103" s="2"/>
      <c r="J103" s="2"/>
    </row>
    <row r="104" spans="3:10">
      <c r="C104" s="18" t="s">
        <v>3</v>
      </c>
      <c r="D104" s="20">
        <v>46023</v>
      </c>
      <c r="E104" s="18" t="s">
        <v>56</v>
      </c>
      <c r="F104" s="18" t="s">
        <v>57</v>
      </c>
      <c r="G104" s="22">
        <v>240849</v>
      </c>
      <c r="H104" s="2"/>
      <c r="I104" s="2"/>
      <c r="J104" s="2"/>
    </row>
    <row r="105" spans="3:10">
      <c r="C105" s="18" t="s">
        <v>3</v>
      </c>
      <c r="D105" s="20">
        <v>46023</v>
      </c>
      <c r="E105" s="18" t="s">
        <v>58</v>
      </c>
      <c r="F105" s="18" t="s">
        <v>59</v>
      </c>
      <c r="G105" s="22">
        <v>20696.810000000001</v>
      </c>
      <c r="H105" s="2"/>
      <c r="I105" s="2"/>
      <c r="J105" s="2"/>
    </row>
    <row r="106" spans="3:10">
      <c r="C106" s="18" t="s">
        <v>3</v>
      </c>
      <c r="D106" s="20">
        <v>46023</v>
      </c>
      <c r="E106" s="18" t="s">
        <v>60</v>
      </c>
      <c r="F106" s="18" t="s">
        <v>61</v>
      </c>
      <c r="G106" s="22">
        <v>30838.799999999999</v>
      </c>
      <c r="H106" s="2"/>
      <c r="I106" s="2"/>
      <c r="J106" s="2"/>
    </row>
    <row r="107" spans="3:10">
      <c r="C107" s="18" t="s">
        <v>3</v>
      </c>
      <c r="D107" s="20">
        <v>46023</v>
      </c>
      <c r="E107" s="18" t="s">
        <v>62</v>
      </c>
      <c r="F107" s="18" t="s">
        <v>63</v>
      </c>
      <c r="G107" s="22">
        <v>9633.9599999999991</v>
      </c>
      <c r="H107" s="2"/>
      <c r="I107" s="2"/>
      <c r="J107" s="2"/>
    </row>
    <row r="108" spans="3:10">
      <c r="C108" s="18" t="s">
        <v>3</v>
      </c>
      <c r="D108" s="20">
        <v>46023</v>
      </c>
      <c r="E108" s="18" t="s">
        <v>64</v>
      </c>
      <c r="F108" s="18" t="s">
        <v>65</v>
      </c>
      <c r="G108" s="22">
        <v>29900</v>
      </c>
      <c r="H108" s="2"/>
      <c r="I108" s="2"/>
      <c r="J108" s="2"/>
    </row>
    <row r="109" spans="3:10">
      <c r="C109" s="18" t="s">
        <v>3</v>
      </c>
      <c r="D109" s="20">
        <v>46023</v>
      </c>
      <c r="E109" s="18" t="s">
        <v>66</v>
      </c>
      <c r="F109" s="18" t="s">
        <v>67</v>
      </c>
      <c r="G109" s="22">
        <v>78000</v>
      </c>
      <c r="H109" s="2"/>
      <c r="I109" s="2"/>
      <c r="J109" s="2"/>
    </row>
    <row r="110" spans="3:10">
      <c r="C110" s="18" t="s">
        <v>3</v>
      </c>
      <c r="D110" s="20">
        <v>46023</v>
      </c>
      <c r="E110" s="18" t="s">
        <v>68</v>
      </c>
      <c r="F110" s="18" t="s">
        <v>69</v>
      </c>
      <c r="G110" s="22">
        <v>28050</v>
      </c>
      <c r="H110" s="2"/>
      <c r="I110" s="2"/>
      <c r="J110" s="2"/>
    </row>
    <row r="111" spans="3:10">
      <c r="C111" s="18" t="s">
        <v>3</v>
      </c>
      <c r="D111" s="20">
        <v>46023</v>
      </c>
      <c r="E111" s="18" t="s">
        <v>70</v>
      </c>
      <c r="F111" s="18" t="s">
        <v>71</v>
      </c>
      <c r="G111" s="22">
        <v>10200</v>
      </c>
      <c r="H111" s="2"/>
      <c r="I111" s="2"/>
      <c r="J111" s="2"/>
    </row>
    <row r="112" spans="3:10">
      <c r="C112" s="18" t="s">
        <v>3</v>
      </c>
      <c r="D112" s="20">
        <v>46054</v>
      </c>
      <c r="E112" s="18" t="s">
        <v>56</v>
      </c>
      <c r="F112" s="18" t="s">
        <v>57</v>
      </c>
      <c r="G112" s="22">
        <v>234832</v>
      </c>
      <c r="H112" s="2"/>
      <c r="I112" s="2"/>
      <c r="J112" s="2"/>
    </row>
    <row r="113" spans="3:10">
      <c r="C113" s="18" t="s">
        <v>3</v>
      </c>
      <c r="D113" s="20">
        <v>46054</v>
      </c>
      <c r="E113" s="18" t="s">
        <v>58</v>
      </c>
      <c r="F113" s="18" t="s">
        <v>59</v>
      </c>
      <c r="G113" s="22">
        <v>19408.400000000001</v>
      </c>
      <c r="H113" s="2"/>
      <c r="I113" s="2"/>
      <c r="J113" s="2"/>
    </row>
    <row r="114" spans="3:10">
      <c r="C114" s="18" t="s">
        <v>3</v>
      </c>
      <c r="D114" s="20">
        <v>46054</v>
      </c>
      <c r="E114" s="18" t="s">
        <v>60</v>
      </c>
      <c r="F114" s="18" t="s">
        <v>61</v>
      </c>
      <c r="G114" s="22">
        <v>29674</v>
      </c>
      <c r="H114" s="2"/>
      <c r="I114" s="2"/>
      <c r="J114" s="2"/>
    </row>
    <row r="115" spans="3:10">
      <c r="C115" s="18" t="s">
        <v>3</v>
      </c>
      <c r="D115" s="20">
        <v>46054</v>
      </c>
      <c r="E115" s="18" t="s">
        <v>62</v>
      </c>
      <c r="F115" s="18" t="s">
        <v>63</v>
      </c>
      <c r="G115" s="22">
        <v>9393.2800000000007</v>
      </c>
      <c r="H115" s="2"/>
      <c r="I115" s="2"/>
      <c r="J115" s="2"/>
    </row>
    <row r="116" spans="3:10">
      <c r="C116" s="18" t="s">
        <v>3</v>
      </c>
      <c r="D116" s="20">
        <v>46054</v>
      </c>
      <c r="E116" s="18" t="s">
        <v>64</v>
      </c>
      <c r="F116" s="18" t="s">
        <v>65</v>
      </c>
      <c r="G116" s="22">
        <v>30025</v>
      </c>
      <c r="H116" s="2"/>
      <c r="I116" s="2"/>
      <c r="J116" s="2"/>
    </row>
    <row r="117" spans="3:10">
      <c r="C117" s="18" t="s">
        <v>3</v>
      </c>
      <c r="D117" s="20">
        <v>46054</v>
      </c>
      <c r="E117" s="18" t="s">
        <v>66</v>
      </c>
      <c r="F117" s="18" t="s">
        <v>67</v>
      </c>
      <c r="G117" s="22">
        <v>78000</v>
      </c>
      <c r="H117" s="2"/>
      <c r="I117" s="2"/>
      <c r="J117" s="2"/>
    </row>
    <row r="118" spans="3:10">
      <c r="C118" s="18" t="s">
        <v>3</v>
      </c>
      <c r="D118" s="20">
        <v>46054</v>
      </c>
      <c r="E118" s="18" t="s">
        <v>68</v>
      </c>
      <c r="F118" s="18" t="s">
        <v>69</v>
      </c>
      <c r="G118" s="22">
        <v>27920</v>
      </c>
      <c r="H118" s="2"/>
      <c r="I118" s="2"/>
      <c r="J118" s="2"/>
    </row>
    <row r="119" spans="3:10">
      <c r="C119" s="18" t="s">
        <v>3</v>
      </c>
      <c r="D119" s="20">
        <v>46054</v>
      </c>
      <c r="E119" s="18" t="s">
        <v>70</v>
      </c>
      <c r="F119" s="18" t="s">
        <v>71</v>
      </c>
      <c r="G119" s="22">
        <v>8800</v>
      </c>
      <c r="H119" s="2"/>
      <c r="I119" s="2"/>
      <c r="J119" s="2"/>
    </row>
    <row r="120" spans="3:10">
      <c r="C120" s="18" t="s">
        <v>3</v>
      </c>
      <c r="D120" s="20">
        <v>46082</v>
      </c>
      <c r="E120" s="18" t="s">
        <v>56</v>
      </c>
      <c r="F120" s="18" t="s">
        <v>57</v>
      </c>
      <c r="G120" s="22">
        <v>289307</v>
      </c>
      <c r="H120" s="2"/>
      <c r="I120" s="2"/>
      <c r="J120" s="2"/>
    </row>
    <row r="121" spans="3:10">
      <c r="C121" s="18" t="s">
        <v>3</v>
      </c>
      <c r="D121" s="20">
        <v>46082</v>
      </c>
      <c r="E121" s="18" t="s">
        <v>58</v>
      </c>
      <c r="F121" s="18" t="s">
        <v>59</v>
      </c>
      <c r="G121" s="22">
        <v>23786.67</v>
      </c>
      <c r="H121" s="2"/>
      <c r="I121" s="2"/>
      <c r="J121" s="2"/>
    </row>
    <row r="122" spans="3:10">
      <c r="C122" s="18" t="s">
        <v>3</v>
      </c>
      <c r="D122" s="20">
        <v>46082</v>
      </c>
      <c r="E122" s="18" t="s">
        <v>60</v>
      </c>
      <c r="F122" s="18" t="s">
        <v>61</v>
      </c>
      <c r="G122" s="22">
        <v>36710.199999999997</v>
      </c>
      <c r="H122" s="2"/>
      <c r="I122" s="2"/>
      <c r="J122" s="2"/>
    </row>
    <row r="123" spans="3:10">
      <c r="C123" s="18" t="s">
        <v>3</v>
      </c>
      <c r="D123" s="20">
        <v>46082</v>
      </c>
      <c r="E123" s="18" t="s">
        <v>62</v>
      </c>
      <c r="F123" s="18" t="s">
        <v>63</v>
      </c>
      <c r="G123" s="22">
        <v>11572.28</v>
      </c>
      <c r="H123" s="2"/>
      <c r="I123" s="2"/>
      <c r="J123" s="2"/>
    </row>
    <row r="124" spans="3:10">
      <c r="C124" s="18" t="s">
        <v>3</v>
      </c>
      <c r="D124" s="20">
        <v>46082</v>
      </c>
      <c r="E124" s="18" t="s">
        <v>64</v>
      </c>
      <c r="F124" s="18" t="s">
        <v>65</v>
      </c>
      <c r="G124" s="22">
        <v>30075</v>
      </c>
      <c r="H124" s="2"/>
      <c r="I124" s="2"/>
      <c r="J124" s="2"/>
    </row>
    <row r="125" spans="3:10">
      <c r="C125" s="18" t="s">
        <v>3</v>
      </c>
      <c r="D125" s="20">
        <v>46082</v>
      </c>
      <c r="E125" s="18" t="s">
        <v>66</v>
      </c>
      <c r="F125" s="18" t="s">
        <v>67</v>
      </c>
      <c r="G125" s="22">
        <v>78000</v>
      </c>
      <c r="H125" s="2"/>
      <c r="I125" s="2"/>
      <c r="J125" s="2"/>
    </row>
    <row r="126" spans="3:10">
      <c r="C126" s="18" t="s">
        <v>3</v>
      </c>
      <c r="D126" s="20">
        <v>46082</v>
      </c>
      <c r="E126" s="18" t="s">
        <v>68</v>
      </c>
      <c r="F126" s="18" t="s">
        <v>69</v>
      </c>
      <c r="G126" s="22">
        <v>28620</v>
      </c>
      <c r="H126" s="2"/>
      <c r="I126" s="2"/>
      <c r="J126" s="2"/>
    </row>
    <row r="127" spans="3:10">
      <c r="C127" s="18" t="s">
        <v>3</v>
      </c>
      <c r="D127" s="20">
        <v>46082</v>
      </c>
      <c r="E127" s="18" t="s">
        <v>70</v>
      </c>
      <c r="F127" s="18" t="s">
        <v>71</v>
      </c>
      <c r="G127" s="22">
        <v>11300</v>
      </c>
      <c r="H127" s="2"/>
      <c r="I127" s="2"/>
      <c r="J127" s="2"/>
    </row>
    <row r="128" spans="3:10">
      <c r="C128" s="18" t="s">
        <v>3</v>
      </c>
      <c r="D128" s="20">
        <v>46113</v>
      </c>
      <c r="E128" s="18" t="s">
        <v>56</v>
      </c>
      <c r="F128" s="18" t="s">
        <v>57</v>
      </c>
      <c r="G128" s="22">
        <v>300083.5</v>
      </c>
      <c r="H128" s="2"/>
      <c r="I128" s="2"/>
      <c r="J128" s="2"/>
    </row>
    <row r="129" spans="3:10">
      <c r="C129" s="18" t="s">
        <v>3</v>
      </c>
      <c r="D129" s="20">
        <v>46113</v>
      </c>
      <c r="E129" s="18" t="s">
        <v>58</v>
      </c>
      <c r="F129" s="18" t="s">
        <v>59</v>
      </c>
      <c r="G129" s="22">
        <v>28109.25</v>
      </c>
      <c r="H129" s="2"/>
      <c r="I129" s="2"/>
      <c r="J129" s="2"/>
    </row>
    <row r="130" spans="3:10">
      <c r="C130" s="18" t="s">
        <v>3</v>
      </c>
      <c r="D130" s="20">
        <v>46113</v>
      </c>
      <c r="E130" s="18" t="s">
        <v>60</v>
      </c>
      <c r="F130" s="18" t="s">
        <v>61</v>
      </c>
      <c r="G130" s="22">
        <v>37830</v>
      </c>
      <c r="H130" s="2"/>
      <c r="I130" s="2"/>
      <c r="J130" s="2"/>
    </row>
    <row r="131" spans="3:10">
      <c r="C131" s="18" t="s">
        <v>3</v>
      </c>
      <c r="D131" s="20">
        <v>46113</v>
      </c>
      <c r="E131" s="18" t="s">
        <v>62</v>
      </c>
      <c r="F131" s="18" t="s">
        <v>63</v>
      </c>
      <c r="G131" s="22">
        <v>12003.34</v>
      </c>
      <c r="H131" s="2"/>
      <c r="I131" s="2"/>
      <c r="J131" s="2"/>
    </row>
    <row r="132" spans="3:10">
      <c r="C132" s="18" t="s">
        <v>3</v>
      </c>
      <c r="D132" s="20">
        <v>46113</v>
      </c>
      <c r="E132" s="18" t="s">
        <v>64</v>
      </c>
      <c r="F132" s="18" t="s">
        <v>65</v>
      </c>
      <c r="G132" s="22">
        <v>30200</v>
      </c>
      <c r="H132" s="2"/>
      <c r="I132" s="2"/>
      <c r="J132" s="2"/>
    </row>
    <row r="133" spans="3:10">
      <c r="C133" s="18" t="s">
        <v>3</v>
      </c>
      <c r="D133" s="20">
        <v>46113</v>
      </c>
      <c r="E133" s="18" t="s">
        <v>66</v>
      </c>
      <c r="F133" s="18" t="s">
        <v>67</v>
      </c>
      <c r="G133" s="22">
        <v>78000</v>
      </c>
      <c r="H133" s="2"/>
      <c r="I133" s="2"/>
      <c r="J133" s="2"/>
    </row>
    <row r="134" spans="3:10">
      <c r="C134" s="18" t="s">
        <v>3</v>
      </c>
      <c r="D134" s="20">
        <v>46113</v>
      </c>
      <c r="E134" s="18" t="s">
        <v>68</v>
      </c>
      <c r="F134" s="18" t="s">
        <v>69</v>
      </c>
      <c r="G134" s="22">
        <v>28710</v>
      </c>
      <c r="H134" s="2"/>
      <c r="I134" s="2"/>
      <c r="J134" s="2"/>
    </row>
    <row r="135" spans="3:10">
      <c r="C135" s="18" t="s">
        <v>3</v>
      </c>
      <c r="D135" s="20">
        <v>46113</v>
      </c>
      <c r="E135" s="18" t="s">
        <v>70</v>
      </c>
      <c r="F135" s="18" t="s">
        <v>71</v>
      </c>
      <c r="G135" s="22">
        <v>13100</v>
      </c>
      <c r="H135" s="2"/>
      <c r="I135" s="2"/>
      <c r="J135" s="2"/>
    </row>
    <row r="136" spans="3:10">
      <c r="C136" s="18" t="s">
        <v>3</v>
      </c>
      <c r="D136" s="20">
        <v>46143</v>
      </c>
      <c r="E136" s="18" t="s">
        <v>56</v>
      </c>
      <c r="F136" s="18" t="s">
        <v>57</v>
      </c>
      <c r="G136" s="22">
        <v>340731</v>
      </c>
      <c r="H136" s="2"/>
      <c r="I136" s="2"/>
      <c r="J136" s="2"/>
    </row>
    <row r="137" spans="3:10">
      <c r="C137" s="18" t="s">
        <v>3</v>
      </c>
      <c r="D137" s="20">
        <v>46143</v>
      </c>
      <c r="E137" s="18" t="s">
        <v>58</v>
      </c>
      <c r="F137" s="18" t="s">
        <v>59</v>
      </c>
      <c r="G137" s="22">
        <v>29839.05</v>
      </c>
      <c r="H137" s="2"/>
      <c r="I137" s="2"/>
      <c r="J137" s="2"/>
    </row>
    <row r="138" spans="3:10">
      <c r="C138" s="18" t="s">
        <v>3</v>
      </c>
      <c r="D138" s="20">
        <v>46143</v>
      </c>
      <c r="E138" s="18" t="s">
        <v>60</v>
      </c>
      <c r="F138" s="18" t="s">
        <v>61</v>
      </c>
      <c r="G138" s="22">
        <v>42352.2</v>
      </c>
      <c r="H138" s="2"/>
      <c r="I138" s="2"/>
      <c r="J138" s="2"/>
    </row>
    <row r="139" spans="3:10">
      <c r="C139" s="18" t="s">
        <v>3</v>
      </c>
      <c r="D139" s="20">
        <v>46143</v>
      </c>
      <c r="E139" s="18" t="s">
        <v>62</v>
      </c>
      <c r="F139" s="18" t="s">
        <v>63</v>
      </c>
      <c r="G139" s="22">
        <v>13629.24</v>
      </c>
      <c r="H139" s="2"/>
      <c r="I139" s="2"/>
      <c r="J139" s="2"/>
    </row>
    <row r="140" spans="3:10">
      <c r="C140" s="18" t="s">
        <v>3</v>
      </c>
      <c r="D140" s="20">
        <v>46143</v>
      </c>
      <c r="E140" s="18" t="s">
        <v>64</v>
      </c>
      <c r="F140" s="18" t="s">
        <v>65</v>
      </c>
      <c r="G140" s="22">
        <v>30350</v>
      </c>
      <c r="H140" s="2"/>
      <c r="I140" s="2"/>
      <c r="J140" s="2"/>
    </row>
    <row r="141" spans="3:10">
      <c r="C141" s="18" t="s">
        <v>3</v>
      </c>
      <c r="D141" s="20">
        <v>46143</v>
      </c>
      <c r="E141" s="18" t="s">
        <v>66</v>
      </c>
      <c r="F141" s="18" t="s">
        <v>67</v>
      </c>
      <c r="G141" s="22">
        <v>78000</v>
      </c>
      <c r="H141" s="2"/>
      <c r="I141" s="2"/>
      <c r="J141" s="2"/>
    </row>
    <row r="142" spans="3:10">
      <c r="C142" s="18" t="s">
        <v>3</v>
      </c>
      <c r="D142" s="20">
        <v>46143</v>
      </c>
      <c r="E142" s="18" t="s">
        <v>68</v>
      </c>
      <c r="F142" s="18" t="s">
        <v>69</v>
      </c>
      <c r="G142" s="22">
        <v>30350</v>
      </c>
      <c r="H142" s="2"/>
      <c r="I142" s="2"/>
      <c r="J142" s="2"/>
    </row>
    <row r="143" spans="3:10">
      <c r="C143" s="18" t="s">
        <v>3</v>
      </c>
      <c r="D143" s="20">
        <v>46143</v>
      </c>
      <c r="E143" s="18" t="s">
        <v>70</v>
      </c>
      <c r="F143" s="18" t="s">
        <v>71</v>
      </c>
      <c r="G143" s="22">
        <v>14200</v>
      </c>
      <c r="H143" s="2"/>
      <c r="I143" s="2"/>
      <c r="J143" s="2"/>
    </row>
    <row r="144" spans="3:10">
      <c r="C144" s="18" t="s">
        <v>3</v>
      </c>
      <c r="D144" s="20">
        <v>46174</v>
      </c>
      <c r="E144" s="18" t="s">
        <v>56</v>
      </c>
      <c r="F144" s="18" t="s">
        <v>57</v>
      </c>
      <c r="G144" s="22">
        <v>379057.5</v>
      </c>
      <c r="H144" s="2"/>
      <c r="I144" s="2"/>
      <c r="J144" s="2"/>
    </row>
    <row r="145" spans="3:10">
      <c r="C145" s="18" t="s">
        <v>3</v>
      </c>
      <c r="D145" s="20">
        <v>46174</v>
      </c>
      <c r="E145" s="18" t="s">
        <v>58</v>
      </c>
      <c r="F145" s="18" t="s">
        <v>59</v>
      </c>
      <c r="G145" s="22">
        <v>29490.3</v>
      </c>
      <c r="H145" s="2"/>
      <c r="I145" s="2"/>
      <c r="J145" s="2"/>
    </row>
    <row r="146" spans="3:10">
      <c r="C146" s="18" t="s">
        <v>3</v>
      </c>
      <c r="D146" s="20">
        <v>46174</v>
      </c>
      <c r="E146" s="18" t="s">
        <v>60</v>
      </c>
      <c r="F146" s="18" t="s">
        <v>61</v>
      </c>
      <c r="G146" s="22">
        <v>45526.5</v>
      </c>
      <c r="H146" s="2"/>
      <c r="I146" s="2"/>
      <c r="J146" s="2"/>
    </row>
    <row r="147" spans="3:10">
      <c r="C147" s="18" t="s">
        <v>3</v>
      </c>
      <c r="D147" s="20">
        <v>46174</v>
      </c>
      <c r="E147" s="18" t="s">
        <v>62</v>
      </c>
      <c r="F147" s="18" t="s">
        <v>63</v>
      </c>
      <c r="G147" s="22">
        <v>15162.3</v>
      </c>
      <c r="H147" s="2"/>
      <c r="I147" s="2"/>
      <c r="J147" s="2"/>
    </row>
    <row r="148" spans="3:10">
      <c r="C148" s="18" t="s">
        <v>3</v>
      </c>
      <c r="D148" s="20">
        <v>46174</v>
      </c>
      <c r="E148" s="18" t="s">
        <v>64</v>
      </c>
      <c r="F148" s="18" t="s">
        <v>65</v>
      </c>
      <c r="G148" s="22">
        <v>30250</v>
      </c>
      <c r="H148" s="2"/>
      <c r="I148" s="2"/>
      <c r="J148" s="2"/>
    </row>
    <row r="149" spans="3:10">
      <c r="C149" s="18" t="s">
        <v>3</v>
      </c>
      <c r="D149" s="20">
        <v>46174</v>
      </c>
      <c r="E149" s="18" t="s">
        <v>66</v>
      </c>
      <c r="F149" s="18" t="s">
        <v>67</v>
      </c>
      <c r="G149" s="22">
        <v>78000</v>
      </c>
      <c r="H149" s="2"/>
      <c r="I149" s="2"/>
      <c r="J149" s="2"/>
    </row>
    <row r="150" spans="3:10">
      <c r="C150" s="18" t="s">
        <v>3</v>
      </c>
      <c r="D150" s="20">
        <v>46174</v>
      </c>
      <c r="E150" s="18" t="s">
        <v>68</v>
      </c>
      <c r="F150" s="18" t="s">
        <v>69</v>
      </c>
      <c r="G150" s="22">
        <v>29410</v>
      </c>
      <c r="H150" s="2"/>
      <c r="I150" s="2"/>
      <c r="J150" s="2"/>
    </row>
    <row r="151" spans="3:10">
      <c r="C151" s="19" t="s">
        <v>3</v>
      </c>
      <c r="D151" s="21">
        <v>46174</v>
      </c>
      <c r="E151" s="19" t="s">
        <v>70</v>
      </c>
      <c r="F151" s="19" t="s">
        <v>71</v>
      </c>
      <c r="G151" s="23">
        <v>6000</v>
      </c>
      <c r="H151" s="2"/>
      <c r="I151" s="2"/>
      <c r="J151" s="2"/>
    </row>
    <row r="152" spans="3:10">
      <c r="C152" s="2"/>
      <c r="D152" s="2"/>
      <c r="E152" s="2"/>
      <c r="F152" s="2"/>
      <c r="G152" s="2"/>
      <c r="H152" s="2"/>
      <c r="I152" s="2"/>
      <c r="J152" s="2"/>
    </row>
    <row r="153" spans="3:10">
      <c r="C153" s="2"/>
      <c r="D153" s="2"/>
      <c r="E153" s="2"/>
      <c r="F153" s="2"/>
      <c r="G153" s="2"/>
      <c r="H153" s="2"/>
      <c r="I153" s="2"/>
      <c r="J153" s="2"/>
    </row>
    <row r="154" spans="3:10">
      <c r="C154" s="2"/>
      <c r="D154" s="2"/>
      <c r="E154" s="2"/>
      <c r="F154" s="2"/>
      <c r="G154" s="2"/>
      <c r="H154" s="2"/>
      <c r="I154" s="2"/>
      <c r="J154" s="2"/>
    </row>
    <row r="155" spans="3:10">
      <c r="C155" s="16" t="s">
        <v>72</v>
      </c>
      <c r="D155" s="16"/>
      <c r="E155" s="16"/>
      <c r="F155" s="16"/>
      <c r="G155" s="16"/>
      <c r="H155" s="16"/>
      <c r="I155" s="16"/>
      <c r="J155" s="16"/>
    </row>
    <row r="156" spans="3:10">
      <c r="C156" s="2"/>
      <c r="D156" s="2"/>
      <c r="E156" s="2"/>
      <c r="F156" s="2"/>
      <c r="G156" s="2"/>
      <c r="H156" s="2"/>
      <c r="I156" s="2"/>
      <c r="J156" s="2"/>
    </row>
    <row r="157" spans="3:10" ht="34.049999999999997" customHeight="1">
      <c r="C157" s="17" t="s">
        <v>51</v>
      </c>
      <c r="D157" s="17" t="s">
        <v>52</v>
      </c>
      <c r="E157" s="17" t="s">
        <v>73</v>
      </c>
      <c r="F157" s="17" t="s">
        <v>74</v>
      </c>
      <c r="G157" s="17" t="s">
        <v>75</v>
      </c>
      <c r="H157" s="2"/>
      <c r="I157" s="2"/>
      <c r="J157" s="2"/>
    </row>
    <row r="158" spans="3:10">
      <c r="C158" s="18" t="s">
        <v>3</v>
      </c>
      <c r="D158" s="20">
        <v>45658</v>
      </c>
      <c r="E158" s="18" t="s">
        <v>76</v>
      </c>
      <c r="F158" s="24">
        <v>1154</v>
      </c>
      <c r="G158" s="22">
        <v>167907</v>
      </c>
      <c r="H158" s="2"/>
      <c r="I158" s="2"/>
      <c r="J158" s="2"/>
    </row>
    <row r="159" spans="3:10">
      <c r="C159" s="18" t="s">
        <v>3</v>
      </c>
      <c r="D159" s="20">
        <v>45658</v>
      </c>
      <c r="E159" s="18" t="s">
        <v>77</v>
      </c>
      <c r="F159" s="24">
        <v>427</v>
      </c>
      <c r="G159" s="22">
        <v>55296.5</v>
      </c>
      <c r="H159" s="2"/>
      <c r="I159" s="2"/>
      <c r="J159" s="2"/>
    </row>
    <row r="160" spans="3:10">
      <c r="C160" s="18" t="s">
        <v>3</v>
      </c>
      <c r="D160" s="20">
        <v>45689</v>
      </c>
      <c r="E160" s="18" t="s">
        <v>76</v>
      </c>
      <c r="F160" s="24">
        <v>1109</v>
      </c>
      <c r="G160" s="22">
        <v>165241</v>
      </c>
      <c r="H160" s="2"/>
      <c r="I160" s="2"/>
      <c r="J160" s="2"/>
    </row>
    <row r="161" spans="3:10">
      <c r="C161" s="18" t="s">
        <v>3</v>
      </c>
      <c r="D161" s="20">
        <v>45689</v>
      </c>
      <c r="E161" s="18" t="s">
        <v>77</v>
      </c>
      <c r="F161" s="24">
        <v>431</v>
      </c>
      <c r="G161" s="22">
        <v>56030</v>
      </c>
      <c r="H161" s="2"/>
      <c r="I161" s="2"/>
      <c r="J161" s="2"/>
    </row>
    <row r="162" spans="3:10">
      <c r="C162" s="18" t="s">
        <v>3</v>
      </c>
      <c r="D162" s="20">
        <v>45717</v>
      </c>
      <c r="E162" s="18" t="s">
        <v>76</v>
      </c>
      <c r="F162" s="24">
        <v>1367</v>
      </c>
      <c r="G162" s="22">
        <v>211201.5</v>
      </c>
      <c r="H162" s="2"/>
      <c r="I162" s="2"/>
      <c r="J162" s="2"/>
    </row>
    <row r="163" spans="3:10">
      <c r="C163" s="18" t="s">
        <v>3</v>
      </c>
      <c r="D163" s="20">
        <v>45717</v>
      </c>
      <c r="E163" s="18" t="s">
        <v>77</v>
      </c>
      <c r="F163" s="24">
        <v>586</v>
      </c>
      <c r="G163" s="22">
        <v>78231</v>
      </c>
      <c r="H163" s="2"/>
      <c r="I163" s="2"/>
      <c r="J163" s="2"/>
    </row>
    <row r="164" spans="3:10">
      <c r="C164" s="18" t="s">
        <v>3</v>
      </c>
      <c r="D164" s="20">
        <v>45748</v>
      </c>
      <c r="E164" s="18" t="s">
        <v>76</v>
      </c>
      <c r="F164" s="24">
        <v>1387</v>
      </c>
      <c r="G164" s="22">
        <v>220533</v>
      </c>
      <c r="H164" s="2"/>
      <c r="I164" s="2"/>
      <c r="J164" s="2"/>
    </row>
    <row r="165" spans="3:10">
      <c r="C165" s="18" t="s">
        <v>3</v>
      </c>
      <c r="D165" s="20">
        <v>45748</v>
      </c>
      <c r="E165" s="18" t="s">
        <v>77</v>
      </c>
      <c r="F165" s="24">
        <v>623</v>
      </c>
      <c r="G165" s="22">
        <v>85974</v>
      </c>
      <c r="H165" s="2"/>
      <c r="I165" s="2"/>
      <c r="J165" s="2"/>
    </row>
    <row r="166" spans="3:10">
      <c r="C166" s="18" t="s">
        <v>3</v>
      </c>
      <c r="D166" s="20">
        <v>45778</v>
      </c>
      <c r="E166" s="18" t="s">
        <v>76</v>
      </c>
      <c r="F166" s="24">
        <v>1518</v>
      </c>
      <c r="G166" s="22">
        <v>257301</v>
      </c>
      <c r="H166" s="2"/>
      <c r="I166" s="2"/>
      <c r="J166" s="2"/>
    </row>
    <row r="167" spans="3:10">
      <c r="C167" s="18" t="s">
        <v>3</v>
      </c>
      <c r="D167" s="20">
        <v>45778</v>
      </c>
      <c r="E167" s="18" t="s">
        <v>77</v>
      </c>
      <c r="F167" s="24">
        <v>714</v>
      </c>
      <c r="G167" s="22">
        <v>101745</v>
      </c>
      <c r="H167" s="2"/>
      <c r="I167" s="2"/>
      <c r="J167" s="2"/>
    </row>
    <row r="168" spans="3:10">
      <c r="C168" s="18" t="s">
        <v>3</v>
      </c>
      <c r="D168" s="20">
        <v>45809</v>
      </c>
      <c r="E168" s="18" t="s">
        <v>76</v>
      </c>
      <c r="F168" s="24">
        <v>1505</v>
      </c>
      <c r="G168" s="22">
        <v>264127.5</v>
      </c>
      <c r="H168" s="2"/>
      <c r="I168" s="2"/>
      <c r="J168" s="2"/>
    </row>
    <row r="169" spans="3:10">
      <c r="C169" s="18" t="s">
        <v>3</v>
      </c>
      <c r="D169" s="20">
        <v>45809</v>
      </c>
      <c r="E169" s="18" t="s">
        <v>77</v>
      </c>
      <c r="F169" s="24">
        <v>775</v>
      </c>
      <c r="G169" s="22">
        <v>111987.5</v>
      </c>
      <c r="H169" s="2"/>
      <c r="I169" s="2"/>
      <c r="J169" s="2"/>
    </row>
    <row r="170" spans="3:10">
      <c r="C170" s="18" t="s">
        <v>3</v>
      </c>
      <c r="D170" s="20">
        <v>45839</v>
      </c>
      <c r="E170" s="18" t="s">
        <v>76</v>
      </c>
      <c r="F170" s="24">
        <v>1647</v>
      </c>
      <c r="G170" s="22">
        <v>304695</v>
      </c>
      <c r="H170" s="2"/>
      <c r="I170" s="2"/>
      <c r="J170" s="2"/>
    </row>
    <row r="171" spans="3:10">
      <c r="C171" s="18" t="s">
        <v>3</v>
      </c>
      <c r="D171" s="20">
        <v>45839</v>
      </c>
      <c r="E171" s="18" t="s">
        <v>77</v>
      </c>
      <c r="F171" s="24">
        <v>926</v>
      </c>
      <c r="G171" s="22">
        <v>139826</v>
      </c>
      <c r="H171" s="2"/>
      <c r="I171" s="2"/>
      <c r="J171" s="2"/>
    </row>
    <row r="172" spans="3:10">
      <c r="C172" s="18" t="s">
        <v>3</v>
      </c>
      <c r="D172" s="20">
        <v>45870</v>
      </c>
      <c r="E172" s="18" t="s">
        <v>76</v>
      </c>
      <c r="F172" s="24">
        <v>1612</v>
      </c>
      <c r="G172" s="22">
        <v>293384</v>
      </c>
      <c r="H172" s="2"/>
      <c r="I172" s="2"/>
      <c r="J172" s="2"/>
    </row>
    <row r="173" spans="3:10">
      <c r="C173" s="18" t="s">
        <v>3</v>
      </c>
      <c r="D173" s="20">
        <v>45870</v>
      </c>
      <c r="E173" s="18" t="s">
        <v>77</v>
      </c>
      <c r="F173" s="24">
        <v>868</v>
      </c>
      <c r="G173" s="22">
        <v>128464</v>
      </c>
      <c r="H173" s="2"/>
      <c r="I173" s="2"/>
      <c r="J173" s="2"/>
    </row>
    <row r="174" spans="3:10">
      <c r="C174" s="18" t="s">
        <v>3</v>
      </c>
      <c r="D174" s="20">
        <v>45901</v>
      </c>
      <c r="E174" s="18" t="s">
        <v>76</v>
      </c>
      <c r="F174" s="24">
        <v>1407</v>
      </c>
      <c r="G174" s="22">
        <v>241300.5</v>
      </c>
      <c r="H174" s="2"/>
      <c r="I174" s="2"/>
      <c r="J174" s="2"/>
    </row>
    <row r="175" spans="3:10">
      <c r="C175" s="18" t="s">
        <v>3</v>
      </c>
      <c r="D175" s="20">
        <v>45901</v>
      </c>
      <c r="E175" s="18" t="s">
        <v>77</v>
      </c>
      <c r="F175" s="24">
        <v>693</v>
      </c>
      <c r="G175" s="22">
        <v>99445.5</v>
      </c>
      <c r="H175" s="2"/>
      <c r="I175" s="2"/>
      <c r="J175" s="2"/>
    </row>
    <row r="176" spans="3:10">
      <c r="C176" s="18" t="s">
        <v>3</v>
      </c>
      <c r="D176" s="20">
        <v>45931</v>
      </c>
      <c r="E176" s="18" t="s">
        <v>76</v>
      </c>
      <c r="F176" s="24">
        <v>1455</v>
      </c>
      <c r="G176" s="22">
        <v>242985</v>
      </c>
      <c r="H176" s="2"/>
      <c r="I176" s="2"/>
      <c r="J176" s="2"/>
    </row>
    <row r="177" spans="3:10">
      <c r="C177" s="18" t="s">
        <v>3</v>
      </c>
      <c r="D177" s="20">
        <v>45931</v>
      </c>
      <c r="E177" s="18" t="s">
        <v>77</v>
      </c>
      <c r="F177" s="24">
        <v>653</v>
      </c>
      <c r="G177" s="22">
        <v>91746.5</v>
      </c>
      <c r="H177" s="2"/>
      <c r="I177" s="2"/>
      <c r="J177" s="2"/>
    </row>
    <row r="178" spans="3:10">
      <c r="C178" s="18" t="s">
        <v>3</v>
      </c>
      <c r="D178" s="20">
        <v>45962</v>
      </c>
      <c r="E178" s="18" t="s">
        <v>76</v>
      </c>
      <c r="F178" s="24">
        <v>1235</v>
      </c>
      <c r="G178" s="22">
        <v>190807.5</v>
      </c>
      <c r="H178" s="2"/>
      <c r="I178" s="2"/>
      <c r="J178" s="2"/>
    </row>
    <row r="179" spans="3:10">
      <c r="C179" s="18" t="s">
        <v>3</v>
      </c>
      <c r="D179" s="20">
        <v>45962</v>
      </c>
      <c r="E179" s="18" t="s">
        <v>77</v>
      </c>
      <c r="F179" s="24">
        <v>505</v>
      </c>
      <c r="G179" s="22">
        <v>68680</v>
      </c>
      <c r="H179" s="2"/>
      <c r="I179" s="2"/>
      <c r="J179" s="2"/>
    </row>
    <row r="180" spans="3:10">
      <c r="C180" s="18" t="s">
        <v>3</v>
      </c>
      <c r="D180" s="20">
        <v>45992</v>
      </c>
      <c r="E180" s="18" t="s">
        <v>76</v>
      </c>
      <c r="F180" s="24">
        <v>1228</v>
      </c>
      <c r="G180" s="22">
        <v>192796</v>
      </c>
      <c r="H180" s="2"/>
      <c r="I180" s="2"/>
      <c r="J180" s="2"/>
    </row>
    <row r="181" spans="3:10">
      <c r="C181" s="18" t="s">
        <v>3</v>
      </c>
      <c r="D181" s="20">
        <v>45992</v>
      </c>
      <c r="E181" s="18" t="s">
        <v>77</v>
      </c>
      <c r="F181" s="24">
        <v>477</v>
      </c>
      <c r="G181" s="22">
        <v>65349</v>
      </c>
      <c r="H181" s="2"/>
      <c r="I181" s="2"/>
      <c r="J181" s="2"/>
    </row>
    <row r="182" spans="3:10">
      <c r="C182" s="18" t="s">
        <v>3</v>
      </c>
      <c r="D182" s="20">
        <v>46023</v>
      </c>
      <c r="E182" s="18" t="s">
        <v>76</v>
      </c>
      <c r="F182" s="24">
        <v>1144</v>
      </c>
      <c r="G182" s="22">
        <v>172744</v>
      </c>
      <c r="H182" s="2"/>
      <c r="I182" s="2"/>
      <c r="J182" s="2"/>
    </row>
    <row r="183" spans="3:10">
      <c r="C183" s="18" t="s">
        <v>3</v>
      </c>
      <c r="D183" s="20">
        <v>46023</v>
      </c>
      <c r="E183" s="18" t="s">
        <v>77</v>
      </c>
      <c r="F183" s="24">
        <v>514</v>
      </c>
      <c r="G183" s="22">
        <v>68105</v>
      </c>
      <c r="H183" s="2"/>
      <c r="I183" s="2"/>
      <c r="J183" s="2"/>
    </row>
    <row r="184" spans="3:10">
      <c r="C184" s="18" t="s">
        <v>3</v>
      </c>
      <c r="D184" s="20">
        <v>46054</v>
      </c>
      <c r="E184" s="18" t="s">
        <v>76</v>
      </c>
      <c r="F184" s="24">
        <v>1075</v>
      </c>
      <c r="G184" s="22">
        <v>164475</v>
      </c>
      <c r="H184" s="2"/>
      <c r="I184" s="2"/>
      <c r="J184" s="2"/>
    </row>
    <row r="185" spans="3:10">
      <c r="C185" s="18" t="s">
        <v>3</v>
      </c>
      <c r="D185" s="20">
        <v>46054</v>
      </c>
      <c r="E185" s="18" t="s">
        <v>77</v>
      </c>
      <c r="F185" s="24">
        <v>529</v>
      </c>
      <c r="G185" s="22">
        <v>70357</v>
      </c>
      <c r="H185" s="2"/>
      <c r="I185" s="2"/>
      <c r="J185" s="2"/>
    </row>
    <row r="186" spans="3:10">
      <c r="C186" s="18" t="s">
        <v>3</v>
      </c>
      <c r="D186" s="20">
        <v>46082</v>
      </c>
      <c r="E186" s="18" t="s">
        <v>76</v>
      </c>
      <c r="F186" s="24">
        <v>1192</v>
      </c>
      <c r="G186" s="22">
        <v>188932</v>
      </c>
      <c r="H186" s="2"/>
      <c r="I186" s="2"/>
      <c r="J186" s="2"/>
    </row>
    <row r="187" spans="3:10">
      <c r="C187" s="18" t="s">
        <v>3</v>
      </c>
      <c r="D187" s="20">
        <v>46082</v>
      </c>
      <c r="E187" s="18" t="s">
        <v>77</v>
      </c>
      <c r="F187" s="24">
        <v>730</v>
      </c>
      <c r="G187" s="22">
        <v>100375</v>
      </c>
      <c r="H187" s="2"/>
      <c r="I187" s="2"/>
      <c r="J187" s="2"/>
    </row>
    <row r="188" spans="3:10">
      <c r="C188" s="18" t="s">
        <v>3</v>
      </c>
      <c r="D188" s="20">
        <v>46113</v>
      </c>
      <c r="E188" s="18" t="s">
        <v>76</v>
      </c>
      <c r="F188" s="24">
        <v>1111</v>
      </c>
      <c r="G188" s="22">
        <v>182204</v>
      </c>
      <c r="H188" s="2"/>
      <c r="I188" s="2"/>
      <c r="J188" s="2"/>
    </row>
    <row r="189" spans="3:10">
      <c r="C189" s="18" t="s">
        <v>3</v>
      </c>
      <c r="D189" s="20">
        <v>46113</v>
      </c>
      <c r="E189" s="18" t="s">
        <v>77</v>
      </c>
      <c r="F189" s="24">
        <v>839</v>
      </c>
      <c r="G189" s="22">
        <v>117879.5</v>
      </c>
      <c r="H189" s="2"/>
      <c r="I189" s="2"/>
      <c r="J189" s="2"/>
    </row>
    <row r="190" spans="3:10">
      <c r="C190" s="18" t="s">
        <v>3</v>
      </c>
      <c r="D190" s="20">
        <v>46143</v>
      </c>
      <c r="E190" s="18" t="s">
        <v>76</v>
      </c>
      <c r="F190" s="24">
        <v>1176</v>
      </c>
      <c r="G190" s="22">
        <v>201096</v>
      </c>
      <c r="H190" s="2"/>
      <c r="I190" s="2"/>
      <c r="J190" s="2"/>
    </row>
    <row r="191" spans="3:10">
      <c r="C191" s="18" t="s">
        <v>3</v>
      </c>
      <c r="D191" s="20">
        <v>46143</v>
      </c>
      <c r="E191" s="18" t="s">
        <v>77</v>
      </c>
      <c r="F191" s="24">
        <v>963</v>
      </c>
      <c r="G191" s="22">
        <v>139635</v>
      </c>
      <c r="H191" s="2"/>
      <c r="I191" s="2"/>
      <c r="J191" s="2"/>
    </row>
    <row r="192" spans="3:10">
      <c r="C192" s="18" t="s">
        <v>3</v>
      </c>
      <c r="D192" s="20">
        <v>46174</v>
      </c>
      <c r="E192" s="18" t="s">
        <v>76</v>
      </c>
      <c r="F192" s="24">
        <v>1314</v>
      </c>
      <c r="G192" s="22">
        <v>237834</v>
      </c>
      <c r="H192" s="2"/>
      <c r="I192" s="2"/>
      <c r="J192" s="2"/>
    </row>
    <row r="193" spans="3:10">
      <c r="C193" s="19" t="s">
        <v>3</v>
      </c>
      <c r="D193" s="21">
        <v>46174</v>
      </c>
      <c r="E193" s="19" t="s">
        <v>77</v>
      </c>
      <c r="F193" s="25">
        <v>951</v>
      </c>
      <c r="G193" s="23">
        <v>141223.5</v>
      </c>
      <c r="H193" s="2"/>
      <c r="I193" s="2"/>
      <c r="J193" s="2"/>
    </row>
    <row r="194" spans="3:10">
      <c r="C194" s="2"/>
      <c r="D194" s="2"/>
      <c r="E194" s="2"/>
      <c r="F194" s="2"/>
      <c r="G194" s="2"/>
      <c r="H194" s="2"/>
      <c r="I194" s="2"/>
      <c r="J194" s="2"/>
    </row>
    <row r="195" spans="3:10">
      <c r="C195" s="2"/>
      <c r="D195" s="2"/>
      <c r="E195" s="2"/>
      <c r="F195" s="2"/>
      <c r="G195" s="2"/>
      <c r="H195" s="2"/>
      <c r="I195" s="2"/>
      <c r="J195" s="2"/>
    </row>
    <row r="196" spans="3:10">
      <c r="C196" s="2"/>
      <c r="D196" s="2"/>
      <c r="E196" s="2"/>
      <c r="F196" s="2"/>
      <c r="G196" s="2"/>
      <c r="H196" s="2"/>
      <c r="I196" s="2"/>
      <c r="J196" s="2"/>
    </row>
    <row r="197" spans="3:10">
      <c r="C197" s="16" t="s">
        <v>78</v>
      </c>
      <c r="D197" s="16"/>
      <c r="E197" s="16"/>
      <c r="F197" s="16"/>
      <c r="G197" s="16"/>
      <c r="H197" s="16"/>
      <c r="I197" s="16"/>
      <c r="J197" s="16"/>
    </row>
    <row r="198" spans="3:10">
      <c r="C198" s="2"/>
      <c r="D198" s="2"/>
      <c r="E198" s="2"/>
      <c r="F198" s="2"/>
      <c r="G198" s="2"/>
      <c r="H198" s="2"/>
      <c r="I198" s="2"/>
      <c r="J198" s="2"/>
    </row>
    <row r="199" spans="3:10" ht="34.049999999999997" customHeight="1">
      <c r="C199" s="17" t="s">
        <v>51</v>
      </c>
      <c r="D199" s="17" t="s">
        <v>52</v>
      </c>
      <c r="E199" s="17" t="s">
        <v>79</v>
      </c>
      <c r="F199" s="17" t="s">
        <v>80</v>
      </c>
      <c r="G199" s="17" t="s">
        <v>81</v>
      </c>
      <c r="H199" s="17" t="s">
        <v>82</v>
      </c>
      <c r="I199" s="2"/>
      <c r="J199" s="2"/>
    </row>
    <row r="200" spans="3:10">
      <c r="C200" s="18" t="s">
        <v>3</v>
      </c>
      <c r="D200" s="20">
        <v>45658</v>
      </c>
      <c r="E200" s="26">
        <v>901.17</v>
      </c>
      <c r="F200" s="22">
        <v>18834.45</v>
      </c>
      <c r="G200" s="28">
        <v>5</v>
      </c>
      <c r="H200" s="22">
        <v>28750</v>
      </c>
      <c r="I200" s="2"/>
      <c r="J200" s="2"/>
    </row>
    <row r="201" spans="3:10">
      <c r="C201" s="18" t="s">
        <v>3</v>
      </c>
      <c r="D201" s="20">
        <v>45689</v>
      </c>
      <c r="E201" s="26">
        <v>862.4</v>
      </c>
      <c r="F201" s="22">
        <v>18110.400000000001</v>
      </c>
      <c r="G201" s="28">
        <v>5</v>
      </c>
      <c r="H201" s="22">
        <v>28800</v>
      </c>
      <c r="I201" s="2"/>
      <c r="J201" s="2"/>
    </row>
    <row r="202" spans="3:10">
      <c r="C202" s="18" t="s">
        <v>3</v>
      </c>
      <c r="D202" s="20">
        <v>45717</v>
      </c>
      <c r="E202" s="26">
        <v>1074.1500000000001</v>
      </c>
      <c r="F202" s="22">
        <v>22610.86</v>
      </c>
      <c r="G202" s="28">
        <v>4.9000000000000004</v>
      </c>
      <c r="H202" s="22">
        <v>28322</v>
      </c>
      <c r="I202" s="2"/>
      <c r="J202" s="2"/>
    </row>
    <row r="203" spans="3:10">
      <c r="C203" s="18" t="s">
        <v>3</v>
      </c>
      <c r="D203" s="20">
        <v>45748</v>
      </c>
      <c r="E203" s="26">
        <v>1105.5</v>
      </c>
      <c r="F203" s="22">
        <v>23436.6</v>
      </c>
      <c r="G203" s="28">
        <v>5</v>
      </c>
      <c r="H203" s="22">
        <v>29000</v>
      </c>
      <c r="I203" s="2"/>
      <c r="J203" s="2"/>
    </row>
    <row r="204" spans="3:10">
      <c r="C204" s="18" t="s">
        <v>3</v>
      </c>
      <c r="D204" s="20">
        <v>45778</v>
      </c>
      <c r="E204" s="26">
        <v>1182.96</v>
      </c>
      <c r="F204" s="22">
        <v>25137.9</v>
      </c>
      <c r="G204" s="28">
        <v>5</v>
      </c>
      <c r="H204" s="22">
        <v>29100</v>
      </c>
      <c r="I204" s="2"/>
      <c r="J204" s="2"/>
    </row>
    <row r="205" spans="3:10">
      <c r="C205" s="18" t="s">
        <v>3</v>
      </c>
      <c r="D205" s="20">
        <v>45809</v>
      </c>
      <c r="E205" s="26">
        <v>1208.4000000000001</v>
      </c>
      <c r="F205" s="22">
        <v>25738.92</v>
      </c>
      <c r="G205" s="28">
        <v>5</v>
      </c>
      <c r="H205" s="22">
        <v>29200</v>
      </c>
      <c r="I205" s="2"/>
      <c r="J205" s="2"/>
    </row>
    <row r="206" spans="3:10">
      <c r="C206" s="18" t="s">
        <v>3</v>
      </c>
      <c r="D206" s="20">
        <v>45839</v>
      </c>
      <c r="E206" s="26">
        <v>1286.5</v>
      </c>
      <c r="F206" s="22">
        <v>27595.43</v>
      </c>
      <c r="G206" s="28">
        <v>5.0999999999999996</v>
      </c>
      <c r="H206" s="22">
        <v>29886</v>
      </c>
      <c r="I206" s="2"/>
      <c r="J206" s="2"/>
    </row>
    <row r="207" spans="3:10">
      <c r="C207" s="18" t="s">
        <v>3</v>
      </c>
      <c r="D207" s="20">
        <v>45870</v>
      </c>
      <c r="E207" s="26">
        <v>1264.8</v>
      </c>
      <c r="F207" s="22">
        <v>27193.200000000001</v>
      </c>
      <c r="G207" s="28">
        <v>5.0999999999999996</v>
      </c>
      <c r="H207" s="22">
        <v>29988</v>
      </c>
      <c r="I207" s="2"/>
      <c r="J207" s="2"/>
    </row>
    <row r="208" spans="3:10">
      <c r="C208" s="18" t="s">
        <v>3</v>
      </c>
      <c r="D208" s="20">
        <v>45901</v>
      </c>
      <c r="E208" s="26">
        <v>1134</v>
      </c>
      <c r="F208" s="22">
        <v>24437.7</v>
      </c>
      <c r="G208" s="28">
        <v>5</v>
      </c>
      <c r="H208" s="22">
        <v>29500</v>
      </c>
      <c r="I208" s="2"/>
      <c r="J208" s="2"/>
    </row>
    <row r="209" spans="3:10">
      <c r="C209" s="18" t="s">
        <v>3</v>
      </c>
      <c r="D209" s="20">
        <v>45931</v>
      </c>
      <c r="E209" s="26">
        <v>1138.32</v>
      </c>
      <c r="F209" s="22">
        <v>24701.54</v>
      </c>
      <c r="G209" s="28">
        <v>5</v>
      </c>
      <c r="H209" s="22">
        <v>29600</v>
      </c>
      <c r="I209" s="2"/>
      <c r="J209" s="2"/>
    </row>
    <row r="210" spans="3:10">
      <c r="C210" s="18" t="s">
        <v>3</v>
      </c>
      <c r="D210" s="20">
        <v>45962</v>
      </c>
      <c r="E210" s="26">
        <v>957</v>
      </c>
      <c r="F210" s="22">
        <v>20814.75</v>
      </c>
      <c r="G210" s="28">
        <v>5</v>
      </c>
      <c r="H210" s="22">
        <v>29700</v>
      </c>
      <c r="I210" s="2"/>
      <c r="J210" s="2"/>
    </row>
    <row r="211" spans="3:10">
      <c r="C211" s="18" t="s">
        <v>3</v>
      </c>
      <c r="D211" s="20">
        <v>45992</v>
      </c>
      <c r="E211" s="26">
        <v>971.85</v>
      </c>
      <c r="F211" s="22">
        <v>21186.33</v>
      </c>
      <c r="G211" s="28">
        <v>5</v>
      </c>
      <c r="H211" s="22">
        <v>29800</v>
      </c>
      <c r="I211" s="2"/>
      <c r="J211" s="2"/>
    </row>
    <row r="212" spans="3:10">
      <c r="C212" s="18" t="s">
        <v>3</v>
      </c>
      <c r="D212" s="20">
        <v>46023</v>
      </c>
      <c r="E212" s="26">
        <v>945.06</v>
      </c>
      <c r="F212" s="22">
        <v>20696.810000000001</v>
      </c>
      <c r="G212" s="28">
        <v>5</v>
      </c>
      <c r="H212" s="22">
        <v>29900</v>
      </c>
      <c r="I212" s="2"/>
      <c r="J212" s="2"/>
    </row>
    <row r="213" spans="3:10">
      <c r="C213" s="18" t="s">
        <v>3</v>
      </c>
      <c r="D213" s="20">
        <v>46054</v>
      </c>
      <c r="E213" s="26">
        <v>882.2</v>
      </c>
      <c r="F213" s="22">
        <v>19408.400000000001</v>
      </c>
      <c r="G213" s="28">
        <v>5</v>
      </c>
      <c r="H213" s="22">
        <v>30025</v>
      </c>
      <c r="I213" s="2"/>
      <c r="J213" s="2"/>
    </row>
    <row r="214" spans="3:10">
      <c r="C214" s="18" t="s">
        <v>3</v>
      </c>
      <c r="D214" s="20">
        <v>46082</v>
      </c>
      <c r="E214" s="26">
        <v>1076.32</v>
      </c>
      <c r="F214" s="22">
        <v>23786.67</v>
      </c>
      <c r="G214" s="28">
        <v>5</v>
      </c>
      <c r="H214" s="22">
        <v>30075</v>
      </c>
      <c r="I214" s="2"/>
      <c r="J214" s="2"/>
    </row>
    <row r="215" spans="3:10">
      <c r="C215" s="18" t="s">
        <v>3</v>
      </c>
      <c r="D215" s="20">
        <v>46113</v>
      </c>
      <c r="E215" s="26">
        <v>1209</v>
      </c>
      <c r="F215" s="22">
        <v>28109.25</v>
      </c>
      <c r="G215" s="28">
        <v>5</v>
      </c>
      <c r="H215" s="22">
        <v>30200</v>
      </c>
      <c r="I215" s="2"/>
      <c r="J215" s="2"/>
    </row>
    <row r="216" spans="3:10">
      <c r="C216" s="18" t="s">
        <v>3</v>
      </c>
      <c r="D216" s="20">
        <v>46143</v>
      </c>
      <c r="E216" s="26">
        <v>1283.4000000000001</v>
      </c>
      <c r="F216" s="22">
        <v>29839.05</v>
      </c>
      <c r="G216" s="28">
        <v>5</v>
      </c>
      <c r="H216" s="22">
        <v>30350</v>
      </c>
      <c r="I216" s="2"/>
      <c r="J216" s="2"/>
    </row>
    <row r="217" spans="3:10">
      <c r="C217" s="19" t="s">
        <v>3</v>
      </c>
      <c r="D217" s="21">
        <v>46174</v>
      </c>
      <c r="E217" s="27">
        <v>1268.4000000000001</v>
      </c>
      <c r="F217" s="23">
        <v>29490.3</v>
      </c>
      <c r="G217" s="29">
        <v>5</v>
      </c>
      <c r="H217" s="23">
        <v>30250</v>
      </c>
      <c r="I217" s="2"/>
      <c r="J217" s="2"/>
    </row>
    <row r="218" spans="3:10">
      <c r="C218" s="2"/>
      <c r="D218" s="2"/>
      <c r="E218" s="2"/>
      <c r="F218" s="2"/>
      <c r="G218" s="2"/>
      <c r="H218" s="2"/>
      <c r="I218" s="2"/>
      <c r="J218" s="2"/>
    </row>
    <row r="219" spans="3:10">
      <c r="C219" s="2"/>
      <c r="D219" s="2"/>
      <c r="E219" s="2"/>
      <c r="F219" s="2"/>
      <c r="G219" s="2"/>
      <c r="H219" s="2"/>
      <c r="I219" s="2"/>
      <c r="J219" s="2"/>
    </row>
    <row r="220" spans="3:10">
      <c r="C220" s="2"/>
      <c r="D220" s="2"/>
      <c r="E220" s="2"/>
      <c r="F220" s="2"/>
      <c r="G220" s="2"/>
      <c r="H220" s="2"/>
      <c r="I220" s="2"/>
      <c r="J220" s="2"/>
    </row>
    <row r="221" spans="3:10">
      <c r="C221" s="16" t="s">
        <v>83</v>
      </c>
      <c r="D221" s="16"/>
      <c r="E221" s="16"/>
      <c r="F221" s="16"/>
      <c r="G221" s="16"/>
      <c r="H221" s="16"/>
      <c r="I221" s="16"/>
      <c r="J221" s="16"/>
    </row>
    <row r="222" spans="3:10">
      <c r="C222" s="2"/>
      <c r="D222" s="2"/>
      <c r="E222" s="2"/>
      <c r="F222" s="2"/>
      <c r="G222" s="2"/>
      <c r="H222" s="2"/>
      <c r="I222" s="2"/>
      <c r="J222" s="2"/>
    </row>
    <row r="223" spans="3:10" ht="34.049999999999997" customHeight="1">
      <c r="C223" s="17" t="s">
        <v>84</v>
      </c>
      <c r="D223" s="17" t="s">
        <v>85</v>
      </c>
      <c r="E223" s="17" t="s">
        <v>86</v>
      </c>
      <c r="F223" s="17" t="s">
        <v>87</v>
      </c>
      <c r="G223" s="17" t="s">
        <v>88</v>
      </c>
      <c r="H223" s="17" t="s">
        <v>89</v>
      </c>
      <c r="I223" s="17" t="s">
        <v>90</v>
      </c>
      <c r="J223" s="17" t="s">
        <v>91</v>
      </c>
    </row>
    <row r="224" spans="3:10" ht="48" customHeight="1">
      <c r="C224" s="18" t="s">
        <v>92</v>
      </c>
      <c r="D224" s="20">
        <v>46127</v>
      </c>
      <c r="E224" s="20">
        <v>46082</v>
      </c>
      <c r="F224" s="20">
        <v>46173</v>
      </c>
      <c r="G224" s="18" t="s">
        <v>93</v>
      </c>
      <c r="H224" s="30" t="s">
        <v>94</v>
      </c>
      <c r="I224" s="18" t="s">
        <v>95</v>
      </c>
      <c r="J224" s="30" t="s">
        <v>96</v>
      </c>
    </row>
    <row r="225" spans="3:10" ht="48" customHeight="1">
      <c r="C225" s="18" t="s">
        <v>97</v>
      </c>
      <c r="D225" s="20">
        <v>46162</v>
      </c>
      <c r="E225" s="20">
        <v>46082</v>
      </c>
      <c r="F225" s="20">
        <v>46203</v>
      </c>
      <c r="G225" s="18" t="s">
        <v>98</v>
      </c>
      <c r="H225" s="30" t="s">
        <v>99</v>
      </c>
      <c r="I225" s="18" t="s">
        <v>95</v>
      </c>
      <c r="J225" s="30" t="s">
        <v>100</v>
      </c>
    </row>
    <row r="226" spans="3:10" ht="48" customHeight="1">
      <c r="C226" s="18" t="s">
        <v>101</v>
      </c>
      <c r="D226" s="20">
        <v>46099</v>
      </c>
      <c r="E226" s="20">
        <v>46113</v>
      </c>
      <c r="F226" s="20">
        <v>46387</v>
      </c>
      <c r="G226" s="18" t="s">
        <v>102</v>
      </c>
      <c r="H226" s="30" t="s">
        <v>103</v>
      </c>
      <c r="I226" s="18" t="s">
        <v>95</v>
      </c>
      <c r="J226" s="30" t="s">
        <v>104</v>
      </c>
    </row>
    <row r="227" spans="3:10" ht="48" customHeight="1">
      <c r="C227" s="18" t="s">
        <v>105</v>
      </c>
      <c r="D227" s="20">
        <v>46193</v>
      </c>
      <c r="E227" s="20">
        <v>46113</v>
      </c>
      <c r="F227" s="20">
        <v>46203</v>
      </c>
      <c r="G227" s="18" t="s">
        <v>106</v>
      </c>
      <c r="H227" s="30" t="s">
        <v>107</v>
      </c>
      <c r="I227" s="18" t="s">
        <v>108</v>
      </c>
      <c r="J227" s="30" t="s">
        <v>109</v>
      </c>
    </row>
    <row r="228" spans="3:10" ht="48" customHeight="1">
      <c r="C228" s="18" t="s">
        <v>110</v>
      </c>
      <c r="D228" s="20">
        <v>46197</v>
      </c>
      <c r="E228" s="20">
        <v>46174</v>
      </c>
      <c r="F228" s="20">
        <v>46295</v>
      </c>
      <c r="G228" s="18" t="s">
        <v>111</v>
      </c>
      <c r="H228" s="30" t="s">
        <v>112</v>
      </c>
      <c r="I228" s="18" t="s">
        <v>95</v>
      </c>
      <c r="J228" s="30" t="s">
        <v>113</v>
      </c>
    </row>
    <row r="229" spans="3:10" ht="48" customHeight="1">
      <c r="C229" s="18" t="s">
        <v>114</v>
      </c>
      <c r="D229" s="20">
        <v>46203</v>
      </c>
      <c r="E229" s="20">
        <v>46143</v>
      </c>
      <c r="F229" s="20">
        <v>46173</v>
      </c>
      <c r="G229" s="18" t="s">
        <v>69</v>
      </c>
      <c r="H229" s="30" t="s">
        <v>115</v>
      </c>
      <c r="I229" s="18" t="s">
        <v>116</v>
      </c>
      <c r="J229" s="30" t="s">
        <v>117</v>
      </c>
    </row>
    <row r="230" spans="3:10" ht="48" customHeight="1">
      <c r="C230" s="19" t="s">
        <v>118</v>
      </c>
      <c r="D230" s="21">
        <v>46211</v>
      </c>
      <c r="E230" s="21">
        <v>46204</v>
      </c>
      <c r="F230" s="21">
        <v>46387</v>
      </c>
      <c r="G230" s="19" t="s">
        <v>119</v>
      </c>
      <c r="H230" s="31" t="s">
        <v>120</v>
      </c>
      <c r="I230" s="19" t="s">
        <v>108</v>
      </c>
      <c r="J230" s="31" t="s">
        <v>121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B70"/>
  </sheetPr>
  <dimension ref="C2:R83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3.5"/>
  <cols>
    <col min="3" max="3" width="34" customWidth="1"/>
    <col min="4" max="4" width="20" customWidth="1"/>
    <col min="5" max="5" width="24" customWidth="1"/>
    <col min="6" max="6" width="22" customWidth="1"/>
    <col min="7" max="7" width="15" customWidth="1"/>
    <col min="8" max="9" width="14" customWidth="1"/>
    <col min="10" max="11" width="23" customWidth="1"/>
    <col min="12" max="12" width="22" customWidth="1"/>
    <col min="13" max="13" width="18" customWidth="1"/>
    <col min="14" max="15" width="15" customWidth="1"/>
    <col min="16" max="16" width="24" customWidth="1"/>
    <col min="17" max="17" width="16" customWidth="1"/>
    <col min="18" max="18" width="18" customWidth="1"/>
  </cols>
  <sheetData>
    <row r="2" spans="3:18" ht="25.05" customHeight="1">
      <c r="C2" s="3" t="s">
        <v>122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3:18">
      <c r="C3" s="16" t="s">
        <v>123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3:18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3:18">
      <c r="C5" s="16" t="s">
        <v>124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3:18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3:18" ht="34.049999999999997" customHeight="1">
      <c r="C7" s="17" t="s">
        <v>51</v>
      </c>
      <c r="D7" s="17" t="s">
        <v>52</v>
      </c>
      <c r="E7" s="17" t="s">
        <v>125</v>
      </c>
      <c r="F7" s="17" t="s">
        <v>126</v>
      </c>
      <c r="G7" s="17" t="s">
        <v>127</v>
      </c>
      <c r="H7" s="17" t="s">
        <v>128</v>
      </c>
      <c r="I7" s="17" t="s">
        <v>129</v>
      </c>
      <c r="J7" s="17" t="s">
        <v>130</v>
      </c>
      <c r="K7" s="17" t="s">
        <v>131</v>
      </c>
      <c r="L7" s="17" t="s">
        <v>132</v>
      </c>
      <c r="M7" s="17" t="s">
        <v>133</v>
      </c>
      <c r="N7" s="17" t="s">
        <v>81</v>
      </c>
      <c r="O7" s="17" t="s">
        <v>134</v>
      </c>
      <c r="P7" s="17" t="s">
        <v>135</v>
      </c>
      <c r="Q7" s="17" t="s">
        <v>136</v>
      </c>
      <c r="R7" s="17" t="s">
        <v>137</v>
      </c>
    </row>
    <row r="8" spans="3:18">
      <c r="C8" s="32" t="s">
        <v>3</v>
      </c>
      <c r="D8" s="34">
        <v>46023</v>
      </c>
      <c r="E8" s="36">
        <v>100</v>
      </c>
      <c r="F8" s="36">
        <v>1705</v>
      </c>
      <c r="G8" s="38">
        <v>0.3</v>
      </c>
      <c r="H8" s="40">
        <v>150</v>
      </c>
      <c r="I8" s="40">
        <v>132</v>
      </c>
      <c r="J8" s="42">
        <v>0.56000000000000005</v>
      </c>
      <c r="K8" s="40">
        <v>22</v>
      </c>
      <c r="L8" s="40">
        <v>18.5</v>
      </c>
      <c r="M8" s="38">
        <v>0.04</v>
      </c>
      <c r="N8" s="44">
        <v>5</v>
      </c>
      <c r="O8" s="40">
        <v>6000</v>
      </c>
      <c r="P8" s="40">
        <v>78000</v>
      </c>
      <c r="Q8" s="40">
        <v>28000</v>
      </c>
      <c r="R8" s="40">
        <v>10000</v>
      </c>
    </row>
    <row r="9" spans="3:18">
      <c r="C9" s="32" t="s">
        <v>3</v>
      </c>
      <c r="D9" s="34">
        <v>46054</v>
      </c>
      <c r="E9" s="36">
        <v>100</v>
      </c>
      <c r="F9" s="36">
        <v>1624</v>
      </c>
      <c r="G9" s="38">
        <v>0.31</v>
      </c>
      <c r="H9" s="40">
        <v>152</v>
      </c>
      <c r="I9" s="40">
        <v>133</v>
      </c>
      <c r="J9" s="42">
        <v>0.55000000000000004</v>
      </c>
      <c r="K9" s="40">
        <v>22</v>
      </c>
      <c r="L9" s="40">
        <v>18.7</v>
      </c>
      <c r="M9" s="38">
        <v>0.04</v>
      </c>
      <c r="N9" s="44">
        <v>5</v>
      </c>
      <c r="O9" s="40">
        <v>6000</v>
      </c>
      <c r="P9" s="40">
        <v>78000</v>
      </c>
      <c r="Q9" s="40">
        <v>28100</v>
      </c>
      <c r="R9" s="40">
        <v>9000</v>
      </c>
    </row>
    <row r="10" spans="3:18">
      <c r="C10" s="32" t="s">
        <v>3</v>
      </c>
      <c r="D10" s="34">
        <v>46082</v>
      </c>
      <c r="E10" s="36">
        <v>100</v>
      </c>
      <c r="F10" s="36">
        <v>2015</v>
      </c>
      <c r="G10" s="38">
        <v>0.32</v>
      </c>
      <c r="H10" s="40">
        <v>158</v>
      </c>
      <c r="I10" s="40">
        <v>137</v>
      </c>
      <c r="J10" s="42">
        <v>0.54</v>
      </c>
      <c r="K10" s="40">
        <v>22</v>
      </c>
      <c r="L10" s="40">
        <v>19</v>
      </c>
      <c r="M10" s="38">
        <v>0.04</v>
      </c>
      <c r="N10" s="44">
        <v>5</v>
      </c>
      <c r="O10" s="40">
        <v>6000</v>
      </c>
      <c r="P10" s="40">
        <v>78000</v>
      </c>
      <c r="Q10" s="40">
        <v>28500</v>
      </c>
      <c r="R10" s="40">
        <v>11000</v>
      </c>
    </row>
    <row r="11" spans="3:18">
      <c r="C11" s="32" t="s">
        <v>3</v>
      </c>
      <c r="D11" s="34">
        <v>46113</v>
      </c>
      <c r="E11" s="36">
        <v>100</v>
      </c>
      <c r="F11" s="36">
        <v>2100</v>
      </c>
      <c r="G11" s="38">
        <v>0.34</v>
      </c>
      <c r="H11" s="40">
        <v>164</v>
      </c>
      <c r="I11" s="40">
        <v>140</v>
      </c>
      <c r="J11" s="42">
        <v>0.53</v>
      </c>
      <c r="K11" s="40">
        <v>22</v>
      </c>
      <c r="L11" s="40">
        <v>19.2</v>
      </c>
      <c r="M11" s="38">
        <v>0.04</v>
      </c>
      <c r="N11" s="44">
        <v>5</v>
      </c>
      <c r="O11" s="40">
        <v>6000</v>
      </c>
      <c r="P11" s="40">
        <v>78000</v>
      </c>
      <c r="Q11" s="40">
        <v>28600</v>
      </c>
      <c r="R11" s="40">
        <v>13000</v>
      </c>
    </row>
    <row r="12" spans="3:18">
      <c r="C12" s="32" t="s">
        <v>3</v>
      </c>
      <c r="D12" s="34">
        <v>46143</v>
      </c>
      <c r="E12" s="36">
        <v>100</v>
      </c>
      <c r="F12" s="36">
        <v>2294</v>
      </c>
      <c r="G12" s="38">
        <v>0.35</v>
      </c>
      <c r="H12" s="40">
        <v>172</v>
      </c>
      <c r="I12" s="40">
        <v>145</v>
      </c>
      <c r="J12" s="42">
        <v>0.52</v>
      </c>
      <c r="K12" s="40">
        <v>22</v>
      </c>
      <c r="L12" s="40">
        <v>19.5</v>
      </c>
      <c r="M12" s="38">
        <v>0.04</v>
      </c>
      <c r="N12" s="44">
        <v>5</v>
      </c>
      <c r="O12" s="40">
        <v>6000</v>
      </c>
      <c r="P12" s="40">
        <v>78000</v>
      </c>
      <c r="Q12" s="40">
        <v>28900</v>
      </c>
      <c r="R12" s="40">
        <v>14000</v>
      </c>
    </row>
    <row r="13" spans="3:18">
      <c r="C13" s="32" t="s">
        <v>3</v>
      </c>
      <c r="D13" s="34">
        <v>46174</v>
      </c>
      <c r="E13" s="36">
        <v>100</v>
      </c>
      <c r="F13" s="36">
        <v>2340</v>
      </c>
      <c r="G13" s="38">
        <v>0.36</v>
      </c>
      <c r="H13" s="40">
        <v>180</v>
      </c>
      <c r="I13" s="40">
        <v>148</v>
      </c>
      <c r="J13" s="42">
        <v>0.51</v>
      </c>
      <c r="K13" s="40">
        <v>22</v>
      </c>
      <c r="L13" s="40">
        <v>19.8</v>
      </c>
      <c r="M13" s="38">
        <v>0.04</v>
      </c>
      <c r="N13" s="44">
        <v>5</v>
      </c>
      <c r="O13" s="40">
        <v>6000</v>
      </c>
      <c r="P13" s="40">
        <v>78000</v>
      </c>
      <c r="Q13" s="40">
        <v>29200</v>
      </c>
      <c r="R13" s="40">
        <v>24000</v>
      </c>
    </row>
    <row r="14" spans="3:18">
      <c r="C14" s="32" t="s">
        <v>3</v>
      </c>
      <c r="D14" s="34">
        <v>46204</v>
      </c>
      <c r="E14" s="36">
        <v>100</v>
      </c>
      <c r="F14" s="36">
        <v>2604</v>
      </c>
      <c r="G14" s="38">
        <v>0.38</v>
      </c>
      <c r="H14" s="40">
        <v>188</v>
      </c>
      <c r="I14" s="40">
        <v>153</v>
      </c>
      <c r="J14" s="42">
        <v>0.5</v>
      </c>
      <c r="K14" s="40">
        <v>22.75</v>
      </c>
      <c r="L14" s="40">
        <v>20</v>
      </c>
      <c r="M14" s="38">
        <v>0.04</v>
      </c>
      <c r="N14" s="44">
        <v>5</v>
      </c>
      <c r="O14" s="40">
        <v>6120</v>
      </c>
      <c r="P14" s="40">
        <v>78000</v>
      </c>
      <c r="Q14" s="40">
        <v>29800</v>
      </c>
      <c r="R14" s="40">
        <v>18000</v>
      </c>
    </row>
    <row r="15" spans="3:18">
      <c r="C15" s="32" t="s">
        <v>3</v>
      </c>
      <c r="D15" s="34">
        <v>46235</v>
      </c>
      <c r="E15" s="36">
        <v>100</v>
      </c>
      <c r="F15" s="36">
        <v>2542</v>
      </c>
      <c r="G15" s="38">
        <v>0.39</v>
      </c>
      <c r="H15" s="40">
        <v>185</v>
      </c>
      <c r="I15" s="40">
        <v>151</v>
      </c>
      <c r="J15" s="42">
        <v>0.5</v>
      </c>
      <c r="K15" s="40">
        <v>22.75</v>
      </c>
      <c r="L15" s="40">
        <v>20</v>
      </c>
      <c r="M15" s="38">
        <v>0.04</v>
      </c>
      <c r="N15" s="44">
        <v>5</v>
      </c>
      <c r="O15" s="40">
        <v>6120</v>
      </c>
      <c r="P15" s="40">
        <v>78000</v>
      </c>
      <c r="Q15" s="40">
        <v>30000</v>
      </c>
      <c r="R15" s="40">
        <v>15000</v>
      </c>
    </row>
    <row r="16" spans="3:18">
      <c r="C16" s="32" t="s">
        <v>3</v>
      </c>
      <c r="D16" s="34">
        <v>46266</v>
      </c>
      <c r="E16" s="36">
        <v>100</v>
      </c>
      <c r="F16" s="36">
        <v>2190</v>
      </c>
      <c r="G16" s="38">
        <v>0.4</v>
      </c>
      <c r="H16" s="40">
        <v>175</v>
      </c>
      <c r="I16" s="40">
        <v>146</v>
      </c>
      <c r="J16" s="42">
        <v>0.52</v>
      </c>
      <c r="K16" s="40">
        <v>22.75</v>
      </c>
      <c r="L16" s="40">
        <v>19.8</v>
      </c>
      <c r="M16" s="38">
        <v>0.04</v>
      </c>
      <c r="N16" s="44">
        <v>5</v>
      </c>
      <c r="O16" s="40">
        <v>6120</v>
      </c>
      <c r="P16" s="40">
        <v>78000</v>
      </c>
      <c r="Q16" s="40">
        <v>29400</v>
      </c>
      <c r="R16" s="40">
        <v>12000</v>
      </c>
    </row>
    <row r="17" spans="3:18">
      <c r="C17" s="32" t="s">
        <v>3</v>
      </c>
      <c r="D17" s="34">
        <v>46296</v>
      </c>
      <c r="E17" s="36">
        <v>100</v>
      </c>
      <c r="F17" s="36">
        <v>2201</v>
      </c>
      <c r="G17" s="38">
        <v>0.38</v>
      </c>
      <c r="H17" s="40">
        <v>170</v>
      </c>
      <c r="I17" s="40">
        <v>144</v>
      </c>
      <c r="J17" s="42">
        <v>0.53</v>
      </c>
      <c r="K17" s="40">
        <v>22.75</v>
      </c>
      <c r="L17" s="40">
        <v>19.5</v>
      </c>
      <c r="M17" s="38">
        <v>0.04</v>
      </c>
      <c r="N17" s="44">
        <v>5</v>
      </c>
      <c r="O17" s="40">
        <v>6120</v>
      </c>
      <c r="P17" s="40">
        <v>78000</v>
      </c>
      <c r="Q17" s="40">
        <v>29100</v>
      </c>
      <c r="R17" s="40">
        <v>13000</v>
      </c>
    </row>
    <row r="18" spans="3:18">
      <c r="C18" s="32" t="s">
        <v>3</v>
      </c>
      <c r="D18" s="34">
        <v>46327</v>
      </c>
      <c r="E18" s="36">
        <v>100</v>
      </c>
      <c r="F18" s="36">
        <v>1830</v>
      </c>
      <c r="G18" s="38">
        <v>0.34</v>
      </c>
      <c r="H18" s="40">
        <v>158</v>
      </c>
      <c r="I18" s="40">
        <v>138</v>
      </c>
      <c r="J18" s="42">
        <v>0.55000000000000004</v>
      </c>
      <c r="K18" s="40">
        <v>22.75</v>
      </c>
      <c r="L18" s="40">
        <v>19</v>
      </c>
      <c r="M18" s="38">
        <v>0.04</v>
      </c>
      <c r="N18" s="44">
        <v>5</v>
      </c>
      <c r="O18" s="40">
        <v>6120</v>
      </c>
      <c r="P18" s="40">
        <v>78000</v>
      </c>
      <c r="Q18" s="40">
        <v>28700</v>
      </c>
      <c r="R18" s="40">
        <v>12000</v>
      </c>
    </row>
    <row r="19" spans="3:18">
      <c r="C19" s="33" t="s">
        <v>3</v>
      </c>
      <c r="D19" s="35">
        <v>46357</v>
      </c>
      <c r="E19" s="37">
        <v>100</v>
      </c>
      <c r="F19" s="37">
        <v>1829</v>
      </c>
      <c r="G19" s="39">
        <v>0.32</v>
      </c>
      <c r="H19" s="41">
        <v>162</v>
      </c>
      <c r="I19" s="41">
        <v>140</v>
      </c>
      <c r="J19" s="43">
        <v>0.56000000000000005</v>
      </c>
      <c r="K19" s="41">
        <v>22.75</v>
      </c>
      <c r="L19" s="41">
        <v>19.2</v>
      </c>
      <c r="M19" s="39">
        <v>0.04</v>
      </c>
      <c r="N19" s="45">
        <v>5</v>
      </c>
      <c r="O19" s="41">
        <v>6120</v>
      </c>
      <c r="P19" s="41">
        <v>78000</v>
      </c>
      <c r="Q19" s="41">
        <v>29000</v>
      </c>
      <c r="R19" s="41">
        <v>16000</v>
      </c>
    </row>
    <row r="20" spans="3:18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3:18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3:18" ht="28.05" customHeight="1">
      <c r="C22" s="4" t="s">
        <v>138</v>
      </c>
      <c r="D22" s="257" t="s">
        <v>139</v>
      </c>
      <c r="E22" s="257"/>
      <c r="F22" s="257"/>
      <c r="G22" s="257"/>
      <c r="H22" s="257"/>
      <c r="I22" s="257"/>
      <c r="J22" s="257"/>
      <c r="K22" s="257"/>
      <c r="L22" s="257"/>
      <c r="M22" s="257"/>
      <c r="N22" s="257"/>
      <c r="O22" s="257"/>
      <c r="P22" s="257"/>
      <c r="Q22" s="257"/>
      <c r="R22" s="257"/>
    </row>
    <row r="23" spans="3:18" ht="28.05" customHeight="1">
      <c r="C23" s="4" t="s">
        <v>140</v>
      </c>
      <c r="D23" s="257" t="s">
        <v>141</v>
      </c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</row>
    <row r="24" spans="3:18" ht="28.05" customHeight="1">
      <c r="C24" s="4" t="s">
        <v>142</v>
      </c>
      <c r="D24" s="257" t="s">
        <v>143</v>
      </c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</row>
    <row r="25" spans="3:18" ht="28.05" customHeight="1">
      <c r="C25" s="4" t="s">
        <v>144</v>
      </c>
      <c r="D25" s="257" t="s">
        <v>145</v>
      </c>
      <c r="E25" s="257"/>
      <c r="F25" s="257"/>
      <c r="G25" s="257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</row>
    <row r="28" spans="3:18" ht="17.649999999999999">
      <c r="C28" s="173" t="s">
        <v>146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3:18">
      <c r="C29" s="174" t="s">
        <v>147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3:18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3:18">
      <c r="C31" s="177" t="s">
        <v>148</v>
      </c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9"/>
    </row>
    <row r="32" spans="3:18">
      <c r="C32" s="1" t="s">
        <v>149</v>
      </c>
      <c r="D32" s="180" t="s">
        <v>150</v>
      </c>
      <c r="E32" s="1"/>
      <c r="F32" s="1" t="s">
        <v>2</v>
      </c>
      <c r="G32" s="180" t="s">
        <v>3</v>
      </c>
      <c r="H32" s="1"/>
      <c r="I32" s="1" t="s">
        <v>151</v>
      </c>
      <c r="J32" s="181">
        <v>46211</v>
      </c>
      <c r="K32" s="1"/>
      <c r="L32" s="1" t="s">
        <v>152</v>
      </c>
      <c r="M32" s="181">
        <v>46174</v>
      </c>
      <c r="N32" s="1"/>
      <c r="O32" s="1" t="s">
        <v>153</v>
      </c>
      <c r="P32" s="181">
        <v>46204</v>
      </c>
      <c r="Q32" s="1" t="s">
        <v>154</v>
      </c>
      <c r="R32" s="181">
        <v>46357</v>
      </c>
    </row>
    <row r="33" spans="3:18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3:18" ht="13.9">
      <c r="C34" s="182" t="s">
        <v>155</v>
      </c>
      <c r="D34" s="1" t="s">
        <v>156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3:18" ht="13.9">
      <c r="C35" s="182" t="s">
        <v>157</v>
      </c>
      <c r="D35" s="1" t="s">
        <v>158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3:18" ht="13.9">
      <c r="C36" s="182" t="s">
        <v>159</v>
      </c>
      <c r="D36" s="1" t="s">
        <v>160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3:18">
      <c r="C37" s="174" t="s">
        <v>161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3:18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3:18">
      <c r="C39" s="177" t="s">
        <v>162</v>
      </c>
      <c r="D39" s="178"/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9"/>
    </row>
    <row r="40" spans="3:18">
      <c r="C40" s="183" t="s">
        <v>163</v>
      </c>
      <c r="D40" s="183" t="s">
        <v>164</v>
      </c>
      <c r="E40" s="183" t="s">
        <v>165</v>
      </c>
      <c r="F40" s="183" t="s">
        <v>166</v>
      </c>
      <c r="G40" s="183" t="s">
        <v>167</v>
      </c>
      <c r="H40" s="183" t="s">
        <v>168</v>
      </c>
      <c r="I40" s="183" t="s">
        <v>169</v>
      </c>
      <c r="J40" s="183" t="s">
        <v>170</v>
      </c>
      <c r="K40" s="183" t="s">
        <v>171</v>
      </c>
      <c r="L40" s="1"/>
      <c r="M40" s="1"/>
      <c r="N40" s="1"/>
      <c r="O40" s="1"/>
      <c r="P40" s="1"/>
      <c r="Q40" s="1"/>
      <c r="R40" s="1"/>
    </row>
    <row r="41" spans="3:18">
      <c r="C41" s="1" t="s">
        <v>172</v>
      </c>
      <c r="D41" s="1" t="s">
        <v>173</v>
      </c>
      <c r="E41" s="1" t="s">
        <v>174</v>
      </c>
      <c r="F41" s="184">
        <v>100</v>
      </c>
      <c r="G41" s="184">
        <v>100</v>
      </c>
      <c r="H41" s="184">
        <v>100</v>
      </c>
      <c r="I41" s="184">
        <v>100</v>
      </c>
      <c r="J41" s="184">
        <v>100</v>
      </c>
      <c r="K41" s="184">
        <v>100</v>
      </c>
      <c r="L41" s="1"/>
      <c r="M41" s="1"/>
      <c r="N41" s="1"/>
      <c r="O41" s="1"/>
      <c r="P41" s="1"/>
      <c r="Q41" s="1"/>
      <c r="R41" s="1"/>
    </row>
    <row r="42" spans="3:18">
      <c r="C42" s="1" t="s">
        <v>175</v>
      </c>
      <c r="D42" s="1" t="s">
        <v>176</v>
      </c>
      <c r="E42" s="1" t="s">
        <v>177</v>
      </c>
      <c r="F42" s="184">
        <v>2552</v>
      </c>
      <c r="G42" s="184">
        <v>2491</v>
      </c>
      <c r="H42" s="184">
        <v>2146</v>
      </c>
      <c r="I42" s="184">
        <v>2168</v>
      </c>
      <c r="J42" s="184">
        <v>1812</v>
      </c>
      <c r="K42" s="184">
        <v>1811</v>
      </c>
      <c r="L42" s="1"/>
      <c r="M42" s="1"/>
      <c r="N42" s="1"/>
      <c r="O42" s="1"/>
      <c r="P42" s="1"/>
      <c r="Q42" s="1"/>
      <c r="R42" s="1"/>
    </row>
    <row r="43" spans="3:18">
      <c r="C43" s="1" t="s">
        <v>178</v>
      </c>
      <c r="D43" s="1" t="s">
        <v>179</v>
      </c>
      <c r="E43" s="1" t="s">
        <v>97</v>
      </c>
      <c r="F43" s="185">
        <v>0.41</v>
      </c>
      <c r="G43" s="185">
        <v>0.42</v>
      </c>
      <c r="H43" s="185">
        <v>0.43</v>
      </c>
      <c r="I43" s="185">
        <v>0.40500000000000003</v>
      </c>
      <c r="J43" s="185">
        <v>0.36</v>
      </c>
      <c r="K43" s="185">
        <v>0.33500000000000002</v>
      </c>
      <c r="L43" s="1"/>
      <c r="M43" s="1"/>
      <c r="N43" s="1"/>
      <c r="O43" s="1"/>
      <c r="P43" s="1"/>
      <c r="Q43" s="1"/>
      <c r="R43" s="1"/>
    </row>
    <row r="44" spans="3:18">
      <c r="C44" s="1" t="s">
        <v>180</v>
      </c>
      <c r="D44" s="1" t="s">
        <v>173</v>
      </c>
      <c r="E44" s="1" t="s">
        <v>174</v>
      </c>
      <c r="F44" s="184">
        <v>188</v>
      </c>
      <c r="G44" s="184">
        <v>185</v>
      </c>
      <c r="H44" s="184">
        <v>175</v>
      </c>
      <c r="I44" s="184">
        <v>170</v>
      </c>
      <c r="J44" s="184">
        <v>158</v>
      </c>
      <c r="K44" s="184">
        <v>162</v>
      </c>
      <c r="L44" s="1"/>
      <c r="M44" s="1"/>
      <c r="N44" s="1"/>
      <c r="O44" s="1"/>
      <c r="P44" s="1"/>
      <c r="Q44" s="1"/>
      <c r="R44" s="1"/>
    </row>
    <row r="45" spans="3:18">
      <c r="C45" s="1" t="s">
        <v>181</v>
      </c>
      <c r="D45" s="1" t="s">
        <v>179</v>
      </c>
      <c r="E45" s="1" t="s">
        <v>182</v>
      </c>
      <c r="F45" s="184">
        <v>153.5</v>
      </c>
      <c r="G45" s="184">
        <v>151.5</v>
      </c>
      <c r="H45" s="184">
        <v>146.5</v>
      </c>
      <c r="I45" s="184">
        <v>144.5</v>
      </c>
      <c r="J45" s="184">
        <v>138.5</v>
      </c>
      <c r="K45" s="184">
        <v>140.5</v>
      </c>
      <c r="L45" s="1"/>
      <c r="M45" s="1"/>
      <c r="N45" s="1"/>
      <c r="O45" s="1"/>
      <c r="P45" s="1"/>
      <c r="Q45" s="1"/>
      <c r="R45" s="1"/>
    </row>
    <row r="46" spans="3:18">
      <c r="C46" s="1" t="s">
        <v>183</v>
      </c>
      <c r="D46" s="1" t="s">
        <v>176</v>
      </c>
      <c r="E46" s="1" t="s">
        <v>105</v>
      </c>
      <c r="F46" s="186">
        <v>0.55000000000000004</v>
      </c>
      <c r="G46" s="186">
        <v>0.54</v>
      </c>
      <c r="H46" s="186">
        <v>0.53</v>
      </c>
      <c r="I46" s="186">
        <v>0.53</v>
      </c>
      <c r="J46" s="186">
        <v>0.55000000000000004</v>
      </c>
      <c r="K46" s="186">
        <v>0.56000000000000005</v>
      </c>
      <c r="L46" s="1"/>
      <c r="M46" s="1"/>
      <c r="N46" s="1"/>
      <c r="O46" s="1"/>
      <c r="P46" s="1"/>
      <c r="Q46" s="1"/>
      <c r="R46" s="1"/>
    </row>
    <row r="47" spans="3:18">
      <c r="C47" s="1" t="s">
        <v>184</v>
      </c>
      <c r="D47" s="1" t="s">
        <v>185</v>
      </c>
      <c r="E47" s="1" t="s">
        <v>101</v>
      </c>
      <c r="F47" s="184">
        <v>23.25</v>
      </c>
      <c r="G47" s="184">
        <v>23.25</v>
      </c>
      <c r="H47" s="184">
        <v>23.25</v>
      </c>
      <c r="I47" s="184">
        <v>23.25</v>
      </c>
      <c r="J47" s="184">
        <v>23.25</v>
      </c>
      <c r="K47" s="184">
        <v>23.25</v>
      </c>
      <c r="L47" s="1"/>
      <c r="M47" s="1"/>
      <c r="N47" s="1"/>
      <c r="O47" s="1"/>
      <c r="P47" s="1"/>
      <c r="Q47" s="1"/>
      <c r="R47" s="1"/>
    </row>
    <row r="48" spans="3:18">
      <c r="C48" s="1" t="s">
        <v>186</v>
      </c>
      <c r="D48" s="1" t="s">
        <v>173</v>
      </c>
      <c r="E48" s="1" t="s">
        <v>174</v>
      </c>
      <c r="F48" s="184">
        <v>20</v>
      </c>
      <c r="G48" s="184">
        <v>20</v>
      </c>
      <c r="H48" s="184">
        <v>19.8</v>
      </c>
      <c r="I48" s="184">
        <v>19.5</v>
      </c>
      <c r="J48" s="184">
        <v>19</v>
      </c>
      <c r="K48" s="184">
        <v>19.2</v>
      </c>
      <c r="L48" s="1"/>
      <c r="M48" s="1"/>
      <c r="N48" s="1"/>
      <c r="O48" s="1"/>
      <c r="P48" s="1"/>
      <c r="Q48" s="1"/>
      <c r="R48" s="1"/>
    </row>
    <row r="49" spans="3:18">
      <c r="C49" s="1" t="s">
        <v>187</v>
      </c>
      <c r="D49" s="1" t="s">
        <v>173</v>
      </c>
      <c r="E49" s="1" t="s">
        <v>188</v>
      </c>
      <c r="F49" s="185">
        <v>0.04</v>
      </c>
      <c r="G49" s="185">
        <v>0.04</v>
      </c>
      <c r="H49" s="185">
        <v>0.04</v>
      </c>
      <c r="I49" s="185">
        <v>0.04</v>
      </c>
      <c r="J49" s="185">
        <v>0.04</v>
      </c>
      <c r="K49" s="185">
        <v>0.04</v>
      </c>
      <c r="L49" s="1"/>
      <c r="M49" s="1"/>
      <c r="N49" s="1"/>
      <c r="O49" s="1"/>
      <c r="P49" s="1"/>
      <c r="Q49" s="1"/>
      <c r="R49" s="1"/>
    </row>
    <row r="50" spans="3:18">
      <c r="C50" s="1" t="s">
        <v>189</v>
      </c>
      <c r="D50" s="1" t="s">
        <v>173</v>
      </c>
      <c r="E50" s="1" t="s">
        <v>174</v>
      </c>
      <c r="F50" s="187">
        <v>5</v>
      </c>
      <c r="G50" s="187">
        <v>5</v>
      </c>
      <c r="H50" s="187">
        <v>5</v>
      </c>
      <c r="I50" s="187">
        <v>5</v>
      </c>
      <c r="J50" s="187">
        <v>5</v>
      </c>
      <c r="K50" s="187">
        <v>5</v>
      </c>
      <c r="L50" s="1"/>
      <c r="M50" s="1"/>
      <c r="N50" s="1"/>
      <c r="O50" s="1"/>
      <c r="P50" s="1"/>
      <c r="Q50" s="1"/>
      <c r="R50" s="1"/>
    </row>
    <row r="51" spans="3:18">
      <c r="C51" s="1" t="s">
        <v>190</v>
      </c>
      <c r="D51" s="1" t="s">
        <v>173</v>
      </c>
      <c r="E51" s="1" t="s">
        <v>174</v>
      </c>
      <c r="F51" s="184">
        <v>6120</v>
      </c>
      <c r="G51" s="184">
        <v>6120</v>
      </c>
      <c r="H51" s="184">
        <v>6120</v>
      </c>
      <c r="I51" s="184">
        <v>6120</v>
      </c>
      <c r="J51" s="184">
        <v>6120</v>
      </c>
      <c r="K51" s="184">
        <v>6120</v>
      </c>
      <c r="L51" s="1"/>
      <c r="M51" s="1"/>
      <c r="N51" s="1"/>
      <c r="O51" s="1"/>
      <c r="P51" s="1"/>
      <c r="Q51" s="1"/>
      <c r="R51" s="1"/>
    </row>
    <row r="52" spans="3:18">
      <c r="C52" s="1" t="s">
        <v>67</v>
      </c>
      <c r="D52" s="1" t="s">
        <v>173</v>
      </c>
      <c r="E52" s="1" t="s">
        <v>174</v>
      </c>
      <c r="F52" s="184">
        <v>78000</v>
      </c>
      <c r="G52" s="184">
        <v>78000</v>
      </c>
      <c r="H52" s="184">
        <v>78000</v>
      </c>
      <c r="I52" s="184">
        <v>78000</v>
      </c>
      <c r="J52" s="184">
        <v>78000</v>
      </c>
      <c r="K52" s="184">
        <v>78000</v>
      </c>
      <c r="L52" s="1"/>
      <c r="M52" s="1"/>
      <c r="N52" s="1"/>
      <c r="O52" s="1"/>
      <c r="P52" s="1"/>
      <c r="Q52" s="1"/>
      <c r="R52" s="1"/>
    </row>
    <row r="53" spans="3:18">
      <c r="C53" s="1" t="s">
        <v>191</v>
      </c>
      <c r="D53" s="1" t="s">
        <v>173</v>
      </c>
      <c r="E53" s="1" t="s">
        <v>114</v>
      </c>
      <c r="F53" s="184">
        <v>29800</v>
      </c>
      <c r="G53" s="184">
        <v>30000</v>
      </c>
      <c r="H53" s="184">
        <v>29400</v>
      </c>
      <c r="I53" s="184">
        <v>29100</v>
      </c>
      <c r="J53" s="184">
        <v>28700</v>
      </c>
      <c r="K53" s="184">
        <v>29000</v>
      </c>
      <c r="L53" s="1"/>
      <c r="M53" s="1"/>
      <c r="N53" s="1"/>
      <c r="O53" s="1"/>
      <c r="P53" s="1"/>
      <c r="Q53" s="1"/>
      <c r="R53" s="1"/>
    </row>
    <row r="54" spans="3:18">
      <c r="C54" s="1" t="s">
        <v>71</v>
      </c>
      <c r="D54" s="1" t="s">
        <v>185</v>
      </c>
      <c r="E54" s="1" t="s">
        <v>110</v>
      </c>
      <c r="F54" s="184">
        <v>18000</v>
      </c>
      <c r="G54" s="184">
        <v>15000</v>
      </c>
      <c r="H54" s="184">
        <v>30000</v>
      </c>
      <c r="I54" s="184">
        <v>13000</v>
      </c>
      <c r="J54" s="184">
        <v>12000</v>
      </c>
      <c r="K54" s="184">
        <v>16000</v>
      </c>
      <c r="L54" s="1"/>
      <c r="M54" s="1"/>
      <c r="N54" s="1"/>
      <c r="O54" s="1"/>
      <c r="P54" s="1"/>
      <c r="Q54" s="1"/>
      <c r="R54" s="1"/>
    </row>
    <row r="55" spans="3:18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3:18" ht="13.9">
      <c r="C56" s="188" t="s">
        <v>192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3:18" ht="13.9">
      <c r="C57" s="182" t="s">
        <v>93</v>
      </c>
      <c r="D57" s="1" t="s">
        <v>193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3:18" ht="13.9">
      <c r="C58" s="182" t="s">
        <v>194</v>
      </c>
      <c r="D58" s="1" t="s">
        <v>195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3:18" ht="13.9">
      <c r="C59" s="182" t="s">
        <v>196</v>
      </c>
      <c r="D59" s="1" t="s">
        <v>197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3:18" ht="13.9">
      <c r="C60" s="182" t="s">
        <v>198</v>
      </c>
      <c r="D60" s="1" t="s">
        <v>199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3:18" ht="13.9">
      <c r="C61" s="182" t="s">
        <v>200</v>
      </c>
      <c r="D61" s="1" t="s">
        <v>201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3:18" ht="13.9">
      <c r="C62" s="182" t="s">
        <v>202</v>
      </c>
      <c r="D62" s="1" t="s">
        <v>203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3:18" ht="13.9">
      <c r="C63" s="182" t="s">
        <v>204</v>
      </c>
      <c r="D63" s="1" t="s">
        <v>205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3:18" ht="13.9">
      <c r="C64" s="182" t="s">
        <v>71</v>
      </c>
      <c r="D64" s="1" t="s">
        <v>206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3:18" ht="13.9">
      <c r="C65" s="182" t="s">
        <v>191</v>
      </c>
      <c r="D65" s="1" t="s">
        <v>207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3:18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3:18">
      <c r="C67" s="177" t="s">
        <v>208</v>
      </c>
      <c r="D67" s="178"/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9"/>
    </row>
    <row r="68" spans="3:18">
      <c r="C68" s="183" t="s">
        <v>163</v>
      </c>
      <c r="D68" s="183" t="s">
        <v>164</v>
      </c>
      <c r="E68" s="183" t="s">
        <v>165</v>
      </c>
      <c r="F68" s="183" t="s">
        <v>166</v>
      </c>
      <c r="G68" s="183" t="s">
        <v>167</v>
      </c>
      <c r="H68" s="183" t="s">
        <v>168</v>
      </c>
      <c r="I68" s="183" t="s">
        <v>169</v>
      </c>
      <c r="J68" s="183" t="s">
        <v>170</v>
      </c>
      <c r="K68" s="183" t="s">
        <v>171</v>
      </c>
      <c r="L68" s="1"/>
      <c r="M68" s="1"/>
      <c r="N68" s="1"/>
      <c r="O68" s="1"/>
      <c r="P68" s="1"/>
      <c r="Q68" s="1"/>
      <c r="R68" s="1"/>
    </row>
    <row r="69" spans="3:18">
      <c r="C69" s="1" t="s">
        <v>175</v>
      </c>
      <c r="D69" s="1" t="s">
        <v>176</v>
      </c>
      <c r="E69" s="1" t="s">
        <v>118</v>
      </c>
      <c r="F69" s="184">
        <v>2629</v>
      </c>
      <c r="G69" s="184">
        <v>2566</v>
      </c>
      <c r="H69" s="184">
        <v>2200</v>
      </c>
      <c r="I69" s="184">
        <v>2222</v>
      </c>
      <c r="J69" s="184">
        <v>1848</v>
      </c>
      <c r="K69" s="184">
        <v>1847</v>
      </c>
      <c r="L69" s="1"/>
      <c r="M69" s="1"/>
      <c r="N69" s="1"/>
      <c r="O69" s="1"/>
      <c r="P69" s="1"/>
      <c r="Q69" s="1"/>
      <c r="R69" s="1"/>
    </row>
    <row r="70" spans="3:18">
      <c r="C70" s="1" t="s">
        <v>178</v>
      </c>
      <c r="D70" s="1" t="s">
        <v>176</v>
      </c>
      <c r="E70" s="1" t="s">
        <v>97</v>
      </c>
      <c r="F70" s="185">
        <v>0.41499999999999998</v>
      </c>
      <c r="G70" s="185">
        <v>0.42499999999999999</v>
      </c>
      <c r="H70" s="185">
        <v>0.435</v>
      </c>
      <c r="I70" s="185">
        <v>0.41</v>
      </c>
      <c r="J70" s="185">
        <v>0.36499999999999999</v>
      </c>
      <c r="K70" s="185">
        <v>0.34</v>
      </c>
      <c r="L70" s="1"/>
      <c r="M70" s="1"/>
      <c r="N70" s="1"/>
      <c r="O70" s="1"/>
      <c r="P70" s="1"/>
      <c r="Q70" s="1"/>
      <c r="R70" s="1"/>
    </row>
    <row r="71" spans="3:18">
      <c r="C71" s="1" t="s">
        <v>180</v>
      </c>
      <c r="D71" s="1" t="s">
        <v>176</v>
      </c>
      <c r="E71" s="1" t="s">
        <v>209</v>
      </c>
      <c r="F71" s="184">
        <v>189.88</v>
      </c>
      <c r="G71" s="184">
        <v>186.85</v>
      </c>
      <c r="H71" s="184">
        <v>176.75</v>
      </c>
      <c r="I71" s="184">
        <v>171.7</v>
      </c>
      <c r="J71" s="184">
        <v>159.58000000000001</v>
      </c>
      <c r="K71" s="184">
        <v>163.62</v>
      </c>
      <c r="L71" s="1"/>
      <c r="M71" s="1"/>
      <c r="N71" s="1"/>
      <c r="O71" s="1"/>
      <c r="P71" s="1"/>
      <c r="Q71" s="1"/>
      <c r="R71" s="1"/>
    </row>
    <row r="72" spans="3:18">
      <c r="C72" s="1" t="s">
        <v>181</v>
      </c>
      <c r="D72" s="1" t="s">
        <v>176</v>
      </c>
      <c r="E72" s="1" t="s">
        <v>210</v>
      </c>
      <c r="F72" s="184">
        <v>154.27000000000001</v>
      </c>
      <c r="G72" s="184">
        <v>152.26</v>
      </c>
      <c r="H72" s="184">
        <v>147.22999999999999</v>
      </c>
      <c r="I72" s="184">
        <v>145.22</v>
      </c>
      <c r="J72" s="184">
        <v>139.19</v>
      </c>
      <c r="K72" s="184">
        <v>141.19999999999999</v>
      </c>
      <c r="L72" s="1"/>
      <c r="M72" s="1"/>
      <c r="N72" s="1"/>
      <c r="O72" s="1"/>
      <c r="P72" s="1"/>
      <c r="Q72" s="1"/>
      <c r="R72" s="1"/>
    </row>
    <row r="73" spans="3:18">
      <c r="C73" s="1" t="s">
        <v>183</v>
      </c>
      <c r="D73" s="1" t="s">
        <v>176</v>
      </c>
      <c r="E73" s="1" t="s">
        <v>105</v>
      </c>
      <c r="F73" s="186">
        <v>0.53</v>
      </c>
      <c r="G73" s="186">
        <v>0.51</v>
      </c>
      <c r="H73" s="186">
        <v>0.52</v>
      </c>
      <c r="I73" s="186">
        <v>0.53</v>
      </c>
      <c r="J73" s="186">
        <v>0.55000000000000004</v>
      </c>
      <c r="K73" s="186">
        <v>0.56000000000000005</v>
      </c>
      <c r="L73" s="1"/>
      <c r="M73" s="1"/>
      <c r="N73" s="1"/>
      <c r="O73" s="1"/>
      <c r="P73" s="1"/>
      <c r="Q73" s="1"/>
      <c r="R73" s="1"/>
    </row>
    <row r="74" spans="3:18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3:18">
      <c r="C75" s="177" t="s">
        <v>211</v>
      </c>
      <c r="D75" s="178"/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9"/>
    </row>
    <row r="76" spans="3:18">
      <c r="C76" s="183" t="s">
        <v>163</v>
      </c>
      <c r="D76" s="183" t="s">
        <v>164</v>
      </c>
      <c r="E76" s="183" t="s">
        <v>165</v>
      </c>
      <c r="F76" s="183" t="s">
        <v>166</v>
      </c>
      <c r="G76" s="183" t="s">
        <v>167</v>
      </c>
      <c r="H76" s="183" t="s">
        <v>168</v>
      </c>
      <c r="I76" s="183" t="s">
        <v>169</v>
      </c>
      <c r="J76" s="183" t="s">
        <v>170</v>
      </c>
      <c r="K76" s="183" t="s">
        <v>171</v>
      </c>
      <c r="L76" s="1"/>
      <c r="M76" s="1"/>
      <c r="N76" s="1"/>
      <c r="O76" s="1"/>
      <c r="P76" s="1"/>
      <c r="Q76" s="1"/>
      <c r="R76" s="1"/>
    </row>
    <row r="77" spans="3:18">
      <c r="C77" s="1" t="s">
        <v>175</v>
      </c>
      <c r="D77" s="1" t="s">
        <v>176</v>
      </c>
      <c r="E77" s="1" t="s">
        <v>212</v>
      </c>
      <c r="F77" s="184">
        <v>2450</v>
      </c>
      <c r="G77" s="184">
        <v>2391</v>
      </c>
      <c r="H77" s="184">
        <v>2039</v>
      </c>
      <c r="I77" s="184">
        <v>2060</v>
      </c>
      <c r="J77" s="184">
        <v>1721</v>
      </c>
      <c r="K77" s="184">
        <v>1720</v>
      </c>
      <c r="L77" s="1"/>
      <c r="M77" s="1"/>
      <c r="N77" s="1"/>
      <c r="O77" s="1"/>
      <c r="P77" s="1"/>
      <c r="Q77" s="1"/>
      <c r="R77" s="1"/>
    </row>
    <row r="78" spans="3:18">
      <c r="C78" s="1" t="s">
        <v>178</v>
      </c>
      <c r="D78" s="1" t="s">
        <v>176</v>
      </c>
      <c r="E78" s="1" t="s">
        <v>97</v>
      </c>
      <c r="F78" s="185">
        <v>0.39500000000000002</v>
      </c>
      <c r="G78" s="185">
        <v>0.40500000000000003</v>
      </c>
      <c r="H78" s="185">
        <v>0.41499999999999998</v>
      </c>
      <c r="I78" s="185">
        <v>0.39</v>
      </c>
      <c r="J78" s="185">
        <v>0.34499999999999997</v>
      </c>
      <c r="K78" s="185">
        <v>0.32</v>
      </c>
      <c r="L78" s="1"/>
      <c r="M78" s="1"/>
      <c r="N78" s="1"/>
      <c r="O78" s="1"/>
      <c r="P78" s="1"/>
      <c r="Q78" s="1"/>
      <c r="R78" s="1"/>
    </row>
    <row r="79" spans="3:18">
      <c r="C79" s="1" t="s">
        <v>180</v>
      </c>
      <c r="D79" s="1" t="s">
        <v>176</v>
      </c>
      <c r="E79" s="1" t="s">
        <v>213</v>
      </c>
      <c r="F79" s="184">
        <v>184.24</v>
      </c>
      <c r="G79" s="184">
        <v>181.3</v>
      </c>
      <c r="H79" s="184">
        <v>171.5</v>
      </c>
      <c r="I79" s="184">
        <v>166.6</v>
      </c>
      <c r="J79" s="184">
        <v>154.84</v>
      </c>
      <c r="K79" s="184">
        <v>158.76</v>
      </c>
      <c r="L79" s="1"/>
      <c r="M79" s="1"/>
      <c r="N79" s="1"/>
      <c r="O79" s="1"/>
      <c r="P79" s="1"/>
      <c r="Q79" s="1"/>
      <c r="R79" s="1"/>
    </row>
    <row r="80" spans="3:18">
      <c r="C80" s="1" t="s">
        <v>181</v>
      </c>
      <c r="D80" s="1" t="s">
        <v>176</v>
      </c>
      <c r="E80" s="1" t="s">
        <v>214</v>
      </c>
      <c r="F80" s="184">
        <v>151.97</v>
      </c>
      <c r="G80" s="184">
        <v>149.99</v>
      </c>
      <c r="H80" s="184">
        <v>145.04</v>
      </c>
      <c r="I80" s="184">
        <v>143.06</v>
      </c>
      <c r="J80" s="184">
        <v>137.12</v>
      </c>
      <c r="K80" s="184">
        <v>139.1</v>
      </c>
      <c r="L80" s="1"/>
      <c r="M80" s="1"/>
      <c r="N80" s="1"/>
      <c r="O80" s="1"/>
      <c r="P80" s="1"/>
      <c r="Q80" s="1"/>
      <c r="R80" s="1"/>
    </row>
    <row r="81" spans="3:18">
      <c r="C81" s="1" t="s">
        <v>183</v>
      </c>
      <c r="D81" s="1" t="s">
        <v>176</v>
      </c>
      <c r="E81" s="1" t="s">
        <v>105</v>
      </c>
      <c r="F81" s="186">
        <v>0.56999999999999995</v>
      </c>
      <c r="G81" s="186">
        <v>0.56000000000000005</v>
      </c>
      <c r="H81" s="186">
        <v>0.55000000000000004</v>
      </c>
      <c r="I81" s="186">
        <v>0.54</v>
      </c>
      <c r="J81" s="186">
        <v>0.56000000000000005</v>
      </c>
      <c r="K81" s="186">
        <v>0.56999999999999995</v>
      </c>
      <c r="L81" s="1"/>
      <c r="M81" s="1"/>
      <c r="N81" s="1"/>
      <c r="O81" s="1"/>
      <c r="P81" s="1"/>
      <c r="Q81" s="1"/>
      <c r="R81" s="1"/>
    </row>
    <row r="82" spans="3:18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3:18">
      <c r="C83" s="174" t="s">
        <v>215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</sheetData>
  <mergeCells count="4">
    <mergeCell ref="D22:R22"/>
    <mergeCell ref="D23:R23"/>
    <mergeCell ref="D24:R24"/>
    <mergeCell ref="D25:R2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65D"/>
  </sheetPr>
  <dimension ref="C2:P5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defaultRowHeight="13.5"/>
  <cols>
    <col min="3" max="3" width="38" customWidth="1"/>
    <col min="4" max="15" width="13" customWidth="1"/>
    <col min="16" max="16" width="17" customWidth="1"/>
  </cols>
  <sheetData>
    <row r="2" spans="3:16" ht="25.05" customHeight="1">
      <c r="C2" s="3" t="s">
        <v>216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3:16">
      <c r="C3" s="16" t="s">
        <v>217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3:16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3:16">
      <c r="C5" s="46" t="s">
        <v>218</v>
      </c>
      <c r="D5" s="48">
        <v>46023</v>
      </c>
      <c r="E5" s="48">
        <v>46054</v>
      </c>
      <c r="F5" s="48">
        <v>46082</v>
      </c>
      <c r="G5" s="48">
        <v>46113</v>
      </c>
      <c r="H5" s="48">
        <v>46143</v>
      </c>
      <c r="I5" s="48">
        <v>46174</v>
      </c>
      <c r="J5" s="48">
        <v>46204</v>
      </c>
      <c r="K5" s="48">
        <v>46235</v>
      </c>
      <c r="L5" s="48">
        <v>46266</v>
      </c>
      <c r="M5" s="48">
        <v>46296</v>
      </c>
      <c r="N5" s="48">
        <v>46327</v>
      </c>
      <c r="O5" s="48">
        <v>46357</v>
      </c>
      <c r="P5" s="47" t="s">
        <v>219</v>
      </c>
    </row>
    <row r="6" spans="3:16">
      <c r="C6" s="49" t="s">
        <v>220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</row>
    <row r="7" spans="3:16" ht="20" customHeight="1">
      <c r="C7" s="50" t="s">
        <v>221</v>
      </c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2"/>
    </row>
    <row r="8" spans="3:16">
      <c r="C8" s="2" t="s">
        <v>172</v>
      </c>
      <c r="D8" s="68">
        <f>INDEX(Assumptions!$E$8:$E$19,MATCH(D$5,Assumptions!$D$8:$D$19,0))</f>
        <v>100</v>
      </c>
      <c r="E8" s="68">
        <f>INDEX(Assumptions!$E$8:$E$19,MATCH(E$5,Assumptions!$D$8:$D$19,0))</f>
        <v>100</v>
      </c>
      <c r="F8" s="68">
        <f>INDEX(Assumptions!$E$8:$E$19,MATCH(F$5,Assumptions!$D$8:$D$19,0))</f>
        <v>100</v>
      </c>
      <c r="G8" s="68">
        <f>INDEX(Assumptions!$E$8:$E$19,MATCH(G$5,Assumptions!$D$8:$D$19,0))</f>
        <v>100</v>
      </c>
      <c r="H8" s="68">
        <f>INDEX(Assumptions!$E$8:$E$19,MATCH(H$5,Assumptions!$D$8:$D$19,0))</f>
        <v>100</v>
      </c>
      <c r="I8" s="68">
        <f>INDEX(Assumptions!$E$8:$E$19,MATCH(I$5,Assumptions!$D$8:$D$19,0))</f>
        <v>100</v>
      </c>
      <c r="J8" s="68">
        <f>INDEX(Assumptions!$E$8:$E$19,MATCH(J$5,Assumptions!$D$8:$D$19,0))</f>
        <v>100</v>
      </c>
      <c r="K8" s="68">
        <f>INDEX(Assumptions!$E$8:$E$19,MATCH(K$5,Assumptions!$D$8:$D$19,0))</f>
        <v>100</v>
      </c>
      <c r="L8" s="68">
        <f>INDEX(Assumptions!$E$8:$E$19,MATCH(L$5,Assumptions!$D$8:$D$19,0))</f>
        <v>100</v>
      </c>
      <c r="M8" s="68">
        <f>INDEX(Assumptions!$E$8:$E$19,MATCH(M$5,Assumptions!$D$8:$D$19,0))</f>
        <v>100</v>
      </c>
      <c r="N8" s="68">
        <f>INDEX(Assumptions!$E$8:$E$19,MATCH(N$5,Assumptions!$D$8:$D$19,0))</f>
        <v>100</v>
      </c>
      <c r="O8" s="68">
        <f>INDEX(Assumptions!$E$8:$E$19,MATCH(O$5,Assumptions!$D$8:$D$19,0))</f>
        <v>100</v>
      </c>
      <c r="P8" s="54">
        <f>AVERAGE(D8:O8)</f>
        <v>100</v>
      </c>
    </row>
    <row r="9" spans="3:16">
      <c r="C9" s="2" t="s">
        <v>222</v>
      </c>
      <c r="D9" s="54">
        <f t="shared" ref="D9:O9" si="0">DATE(YEAR(D$5),MONTH(D$5)+1,1)-D$5</f>
        <v>31</v>
      </c>
      <c r="E9" s="54">
        <f t="shared" si="0"/>
        <v>28</v>
      </c>
      <c r="F9" s="54">
        <f t="shared" si="0"/>
        <v>31</v>
      </c>
      <c r="G9" s="54">
        <f t="shared" si="0"/>
        <v>30</v>
      </c>
      <c r="H9" s="54">
        <f t="shared" si="0"/>
        <v>31</v>
      </c>
      <c r="I9" s="54">
        <f t="shared" si="0"/>
        <v>30</v>
      </c>
      <c r="J9" s="54">
        <f t="shared" si="0"/>
        <v>31</v>
      </c>
      <c r="K9" s="54">
        <f t="shared" si="0"/>
        <v>31</v>
      </c>
      <c r="L9" s="54">
        <f t="shared" si="0"/>
        <v>30</v>
      </c>
      <c r="M9" s="54">
        <f t="shared" si="0"/>
        <v>31</v>
      </c>
      <c r="N9" s="54">
        <f t="shared" si="0"/>
        <v>30</v>
      </c>
      <c r="O9" s="54">
        <f t="shared" si="0"/>
        <v>31</v>
      </c>
      <c r="P9" s="54">
        <f>SUM(D9:O9)</f>
        <v>365</v>
      </c>
    </row>
    <row r="10" spans="3:16">
      <c r="C10" s="2" t="s">
        <v>223</v>
      </c>
      <c r="D10" s="54">
        <f t="shared" ref="D10:O10" si="1">D8*D9</f>
        <v>3100</v>
      </c>
      <c r="E10" s="54">
        <f t="shared" si="1"/>
        <v>2800</v>
      </c>
      <c r="F10" s="54">
        <f t="shared" si="1"/>
        <v>3100</v>
      </c>
      <c r="G10" s="54">
        <f t="shared" si="1"/>
        <v>3000</v>
      </c>
      <c r="H10" s="54">
        <f t="shared" si="1"/>
        <v>3100</v>
      </c>
      <c r="I10" s="54">
        <f t="shared" si="1"/>
        <v>3000</v>
      </c>
      <c r="J10" s="54">
        <f t="shared" si="1"/>
        <v>3100</v>
      </c>
      <c r="K10" s="54">
        <f t="shared" si="1"/>
        <v>3100</v>
      </c>
      <c r="L10" s="54">
        <f t="shared" si="1"/>
        <v>3000</v>
      </c>
      <c r="M10" s="54">
        <f t="shared" si="1"/>
        <v>3100</v>
      </c>
      <c r="N10" s="54">
        <f t="shared" si="1"/>
        <v>3000</v>
      </c>
      <c r="O10" s="54">
        <f t="shared" si="1"/>
        <v>3100</v>
      </c>
      <c r="P10" s="54">
        <f>SUM(D10:O10)</f>
        <v>36500</v>
      </c>
    </row>
    <row r="11" spans="3:16">
      <c r="C11" s="2" t="s">
        <v>224</v>
      </c>
      <c r="D11" s="68">
        <f>INDEX(Assumptions!$F$8:$F$19,MATCH(D$5,Assumptions!$D$8:$D$19,0))</f>
        <v>1705</v>
      </c>
      <c r="E11" s="68">
        <f>INDEX(Assumptions!$F$8:$F$19,MATCH(E$5,Assumptions!$D$8:$D$19,0))</f>
        <v>1624</v>
      </c>
      <c r="F11" s="68">
        <f>INDEX(Assumptions!$F$8:$F$19,MATCH(F$5,Assumptions!$D$8:$D$19,0))</f>
        <v>2015</v>
      </c>
      <c r="G11" s="68">
        <f>INDEX(Assumptions!$F$8:$F$19,MATCH(G$5,Assumptions!$D$8:$D$19,0))</f>
        <v>2100</v>
      </c>
      <c r="H11" s="68">
        <f>INDEX(Assumptions!$F$8:$F$19,MATCH(H$5,Assumptions!$D$8:$D$19,0))</f>
        <v>2294</v>
      </c>
      <c r="I11" s="68">
        <f>INDEX(Assumptions!$F$8:$F$19,MATCH(I$5,Assumptions!$D$8:$D$19,0))</f>
        <v>2340</v>
      </c>
      <c r="J11" s="68">
        <f>INDEX(Assumptions!$F$8:$F$19,MATCH(J$5,Assumptions!$D$8:$D$19,0))</f>
        <v>2604</v>
      </c>
      <c r="K11" s="68">
        <f>INDEX(Assumptions!$F$8:$F$19,MATCH(K$5,Assumptions!$D$8:$D$19,0))</f>
        <v>2542</v>
      </c>
      <c r="L11" s="68">
        <f>INDEX(Assumptions!$F$8:$F$19,MATCH(L$5,Assumptions!$D$8:$D$19,0))</f>
        <v>2190</v>
      </c>
      <c r="M11" s="68">
        <f>INDEX(Assumptions!$F$8:$F$19,MATCH(M$5,Assumptions!$D$8:$D$19,0))</f>
        <v>2201</v>
      </c>
      <c r="N11" s="68">
        <f>INDEX(Assumptions!$F$8:$F$19,MATCH(N$5,Assumptions!$D$8:$D$19,0))</f>
        <v>1830</v>
      </c>
      <c r="O11" s="68">
        <f>INDEX(Assumptions!$F$8:$F$19,MATCH(O$5,Assumptions!$D$8:$D$19,0))</f>
        <v>1829</v>
      </c>
      <c r="P11" s="54">
        <f>SUM(D11:O11)</f>
        <v>25274</v>
      </c>
    </row>
    <row r="12" spans="3:16">
      <c r="C12" s="61" t="s">
        <v>225</v>
      </c>
      <c r="D12" s="62">
        <f t="shared" ref="D12:P12" si="2">D11/D10</f>
        <v>0.55000000000000004</v>
      </c>
      <c r="E12" s="62">
        <f t="shared" si="2"/>
        <v>0.57999999999999996</v>
      </c>
      <c r="F12" s="62">
        <f t="shared" si="2"/>
        <v>0.65</v>
      </c>
      <c r="G12" s="62">
        <f t="shared" si="2"/>
        <v>0.7</v>
      </c>
      <c r="H12" s="62">
        <f t="shared" si="2"/>
        <v>0.74</v>
      </c>
      <c r="I12" s="62">
        <f t="shared" si="2"/>
        <v>0.78</v>
      </c>
      <c r="J12" s="62">
        <f t="shared" si="2"/>
        <v>0.84</v>
      </c>
      <c r="K12" s="62">
        <f t="shared" si="2"/>
        <v>0.82</v>
      </c>
      <c r="L12" s="62">
        <f t="shared" si="2"/>
        <v>0.73</v>
      </c>
      <c r="M12" s="62">
        <f t="shared" si="2"/>
        <v>0.71</v>
      </c>
      <c r="N12" s="62">
        <f t="shared" si="2"/>
        <v>0.61</v>
      </c>
      <c r="O12" s="62">
        <f t="shared" si="2"/>
        <v>0.59</v>
      </c>
      <c r="P12" s="62">
        <f t="shared" si="2"/>
        <v>0.69243835616438354</v>
      </c>
    </row>
    <row r="13" spans="3:16">
      <c r="C13" s="61" t="s">
        <v>178</v>
      </c>
      <c r="D13" s="69">
        <f>INDEX(Assumptions!$G$8:$G$19,MATCH(D$5,Assumptions!$D$8:$D$19,0))</f>
        <v>0.3</v>
      </c>
      <c r="E13" s="69">
        <f>INDEX(Assumptions!$G$8:$G$19,MATCH(E$5,Assumptions!$D$8:$D$19,0))</f>
        <v>0.31</v>
      </c>
      <c r="F13" s="69">
        <f>INDEX(Assumptions!$G$8:$G$19,MATCH(F$5,Assumptions!$D$8:$D$19,0))</f>
        <v>0.32</v>
      </c>
      <c r="G13" s="69">
        <f>INDEX(Assumptions!$G$8:$G$19,MATCH(G$5,Assumptions!$D$8:$D$19,0))</f>
        <v>0.34</v>
      </c>
      <c r="H13" s="69">
        <f>INDEX(Assumptions!$G$8:$G$19,MATCH(H$5,Assumptions!$D$8:$D$19,0))</f>
        <v>0.35</v>
      </c>
      <c r="I13" s="69">
        <f>INDEX(Assumptions!$G$8:$G$19,MATCH(I$5,Assumptions!$D$8:$D$19,0))</f>
        <v>0.36</v>
      </c>
      <c r="J13" s="69">
        <f>INDEX(Assumptions!$G$8:$G$19,MATCH(J$5,Assumptions!$D$8:$D$19,0))</f>
        <v>0.38</v>
      </c>
      <c r="K13" s="69">
        <f>INDEX(Assumptions!$G$8:$G$19,MATCH(K$5,Assumptions!$D$8:$D$19,0))</f>
        <v>0.39</v>
      </c>
      <c r="L13" s="69">
        <f>INDEX(Assumptions!$G$8:$G$19,MATCH(L$5,Assumptions!$D$8:$D$19,0))</f>
        <v>0.4</v>
      </c>
      <c r="M13" s="69">
        <f>INDEX(Assumptions!$G$8:$G$19,MATCH(M$5,Assumptions!$D$8:$D$19,0))</f>
        <v>0.38</v>
      </c>
      <c r="N13" s="69">
        <f>INDEX(Assumptions!$G$8:$G$19,MATCH(N$5,Assumptions!$D$8:$D$19,0))</f>
        <v>0.34</v>
      </c>
      <c r="O13" s="69">
        <f>INDEX(Assumptions!$G$8:$G$19,MATCH(O$5,Assumptions!$D$8:$D$19,0))</f>
        <v>0.32</v>
      </c>
      <c r="P13" s="62">
        <f>P15/P11</f>
        <v>0.35292395346996919</v>
      </c>
    </row>
    <row r="14" spans="3:16">
      <c r="C14" s="2" t="s">
        <v>226</v>
      </c>
      <c r="D14" s="56">
        <f t="shared" ref="D14:O14" si="3">D11-D15</f>
        <v>1193.5</v>
      </c>
      <c r="E14" s="56">
        <f t="shared" si="3"/>
        <v>1120.56</v>
      </c>
      <c r="F14" s="56">
        <f t="shared" si="3"/>
        <v>1370.1999999999998</v>
      </c>
      <c r="G14" s="56">
        <f t="shared" si="3"/>
        <v>1386</v>
      </c>
      <c r="H14" s="56">
        <f t="shared" si="3"/>
        <v>1491.1</v>
      </c>
      <c r="I14" s="56">
        <f t="shared" si="3"/>
        <v>1497.6</v>
      </c>
      <c r="J14" s="56">
        <f t="shared" si="3"/>
        <v>1614.48</v>
      </c>
      <c r="K14" s="56">
        <f t="shared" si="3"/>
        <v>1550.62</v>
      </c>
      <c r="L14" s="56">
        <f t="shared" si="3"/>
        <v>1314</v>
      </c>
      <c r="M14" s="56">
        <f t="shared" si="3"/>
        <v>1364.62</v>
      </c>
      <c r="N14" s="56">
        <f t="shared" si="3"/>
        <v>1207.8</v>
      </c>
      <c r="O14" s="56">
        <f t="shared" si="3"/>
        <v>1243.72</v>
      </c>
      <c r="P14" s="56">
        <f>SUM(D14:O14)</f>
        <v>16354.199999999999</v>
      </c>
    </row>
    <row r="15" spans="3:16">
      <c r="C15" s="2" t="s">
        <v>227</v>
      </c>
      <c r="D15" s="56">
        <f t="shared" ref="D15:O15" si="4">D11*D13</f>
        <v>511.5</v>
      </c>
      <c r="E15" s="56">
        <f t="shared" si="4"/>
        <v>503.44</v>
      </c>
      <c r="F15" s="56">
        <f t="shared" si="4"/>
        <v>644.80000000000007</v>
      </c>
      <c r="G15" s="56">
        <f t="shared" si="4"/>
        <v>714</v>
      </c>
      <c r="H15" s="56">
        <f t="shared" si="4"/>
        <v>802.9</v>
      </c>
      <c r="I15" s="56">
        <f t="shared" si="4"/>
        <v>842.4</v>
      </c>
      <c r="J15" s="56">
        <f t="shared" si="4"/>
        <v>989.52</v>
      </c>
      <c r="K15" s="56">
        <f t="shared" si="4"/>
        <v>991.38</v>
      </c>
      <c r="L15" s="56">
        <f t="shared" si="4"/>
        <v>876</v>
      </c>
      <c r="M15" s="56">
        <f t="shared" si="4"/>
        <v>836.38</v>
      </c>
      <c r="N15" s="56">
        <f t="shared" si="4"/>
        <v>622.20000000000005</v>
      </c>
      <c r="O15" s="56">
        <f t="shared" si="4"/>
        <v>585.28</v>
      </c>
      <c r="P15" s="56">
        <f>SUM(D15:O15)</f>
        <v>8919.8000000000011</v>
      </c>
    </row>
    <row r="16" spans="3:16">
      <c r="C16" s="2" t="s">
        <v>180</v>
      </c>
      <c r="D16" s="70">
        <f>INDEX(Assumptions!$H$8:$H$19,MATCH(D$5,Assumptions!$D$8:$D$19,0))</f>
        <v>150</v>
      </c>
      <c r="E16" s="70">
        <f>INDEX(Assumptions!$H$8:$H$19,MATCH(E$5,Assumptions!$D$8:$D$19,0))</f>
        <v>152</v>
      </c>
      <c r="F16" s="70">
        <f>INDEX(Assumptions!$H$8:$H$19,MATCH(F$5,Assumptions!$D$8:$D$19,0))</f>
        <v>158</v>
      </c>
      <c r="G16" s="70">
        <f>INDEX(Assumptions!$H$8:$H$19,MATCH(G$5,Assumptions!$D$8:$D$19,0))</f>
        <v>164</v>
      </c>
      <c r="H16" s="70">
        <f>INDEX(Assumptions!$H$8:$H$19,MATCH(H$5,Assumptions!$D$8:$D$19,0))</f>
        <v>172</v>
      </c>
      <c r="I16" s="70">
        <f>INDEX(Assumptions!$H$8:$H$19,MATCH(I$5,Assumptions!$D$8:$D$19,0))</f>
        <v>180</v>
      </c>
      <c r="J16" s="70">
        <f>INDEX(Assumptions!$H$8:$H$19,MATCH(J$5,Assumptions!$D$8:$D$19,0))</f>
        <v>188</v>
      </c>
      <c r="K16" s="70">
        <f>INDEX(Assumptions!$H$8:$H$19,MATCH(K$5,Assumptions!$D$8:$D$19,0))</f>
        <v>185</v>
      </c>
      <c r="L16" s="70">
        <f>INDEX(Assumptions!$H$8:$H$19,MATCH(L$5,Assumptions!$D$8:$D$19,0))</f>
        <v>175</v>
      </c>
      <c r="M16" s="70">
        <f>INDEX(Assumptions!$H$8:$H$19,MATCH(M$5,Assumptions!$D$8:$D$19,0))</f>
        <v>170</v>
      </c>
      <c r="N16" s="70">
        <f>INDEX(Assumptions!$H$8:$H$19,MATCH(N$5,Assumptions!$D$8:$D$19,0))</f>
        <v>158</v>
      </c>
      <c r="O16" s="70">
        <f>INDEX(Assumptions!$H$8:$H$19,MATCH(O$5,Assumptions!$D$8:$D$19,0))</f>
        <v>162</v>
      </c>
      <c r="P16" s="57">
        <f>P21/P14</f>
        <v>168.99758471829867</v>
      </c>
    </row>
    <row r="17" spans="3:16">
      <c r="C17" s="2" t="s">
        <v>181</v>
      </c>
      <c r="D17" s="70">
        <f>INDEX(Assumptions!$I$8:$I$19,MATCH(D$5,Assumptions!$D$8:$D$19,0))</f>
        <v>132</v>
      </c>
      <c r="E17" s="70">
        <f>INDEX(Assumptions!$I$8:$I$19,MATCH(E$5,Assumptions!$D$8:$D$19,0))</f>
        <v>133</v>
      </c>
      <c r="F17" s="70">
        <f>INDEX(Assumptions!$I$8:$I$19,MATCH(F$5,Assumptions!$D$8:$D$19,0))</f>
        <v>137</v>
      </c>
      <c r="G17" s="70">
        <f>INDEX(Assumptions!$I$8:$I$19,MATCH(G$5,Assumptions!$D$8:$D$19,0))</f>
        <v>140</v>
      </c>
      <c r="H17" s="70">
        <f>INDEX(Assumptions!$I$8:$I$19,MATCH(H$5,Assumptions!$D$8:$D$19,0))</f>
        <v>145</v>
      </c>
      <c r="I17" s="70">
        <f>INDEX(Assumptions!$I$8:$I$19,MATCH(I$5,Assumptions!$D$8:$D$19,0))</f>
        <v>148</v>
      </c>
      <c r="J17" s="70">
        <f>INDEX(Assumptions!$I$8:$I$19,MATCH(J$5,Assumptions!$D$8:$D$19,0))</f>
        <v>153</v>
      </c>
      <c r="K17" s="70">
        <f>INDEX(Assumptions!$I$8:$I$19,MATCH(K$5,Assumptions!$D$8:$D$19,0))</f>
        <v>151</v>
      </c>
      <c r="L17" s="70">
        <f>INDEX(Assumptions!$I$8:$I$19,MATCH(L$5,Assumptions!$D$8:$D$19,0))</f>
        <v>146</v>
      </c>
      <c r="M17" s="70">
        <f>INDEX(Assumptions!$I$8:$I$19,MATCH(M$5,Assumptions!$D$8:$D$19,0))</f>
        <v>144</v>
      </c>
      <c r="N17" s="70">
        <f>INDEX(Assumptions!$I$8:$I$19,MATCH(N$5,Assumptions!$D$8:$D$19,0))</f>
        <v>138</v>
      </c>
      <c r="O17" s="70">
        <f>INDEX(Assumptions!$I$8:$I$19,MATCH(O$5,Assumptions!$D$8:$D$19,0))</f>
        <v>140</v>
      </c>
      <c r="P17" s="57">
        <f>P22/P15</f>
        <v>143.62444000986568</v>
      </c>
    </row>
    <row r="18" spans="3:16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3:16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3:16" ht="20" customHeight="1">
      <c r="C20" s="50" t="s">
        <v>228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3"/>
    </row>
    <row r="21" spans="3:16">
      <c r="C21" s="2" t="s">
        <v>229</v>
      </c>
      <c r="D21" s="58">
        <f t="shared" ref="D21:O21" si="5">D14*D16</f>
        <v>179025</v>
      </c>
      <c r="E21" s="58">
        <f t="shared" si="5"/>
        <v>170325.12</v>
      </c>
      <c r="F21" s="58">
        <f t="shared" si="5"/>
        <v>216491.59999999998</v>
      </c>
      <c r="G21" s="58">
        <f t="shared" si="5"/>
        <v>227304</v>
      </c>
      <c r="H21" s="58">
        <f t="shared" si="5"/>
        <v>256469.19999999998</v>
      </c>
      <c r="I21" s="58">
        <f t="shared" si="5"/>
        <v>269568</v>
      </c>
      <c r="J21" s="58">
        <f t="shared" si="5"/>
        <v>303522.24</v>
      </c>
      <c r="K21" s="58">
        <f t="shared" si="5"/>
        <v>286864.69999999995</v>
      </c>
      <c r="L21" s="58">
        <f t="shared" si="5"/>
        <v>229950</v>
      </c>
      <c r="M21" s="58">
        <f t="shared" si="5"/>
        <v>231985.4</v>
      </c>
      <c r="N21" s="58">
        <f t="shared" si="5"/>
        <v>190832.4</v>
      </c>
      <c r="O21" s="58">
        <f t="shared" si="5"/>
        <v>201482.64</v>
      </c>
      <c r="P21" s="58">
        <f>SUM(D21:O21)</f>
        <v>2763820.3</v>
      </c>
    </row>
    <row r="22" spans="3:16">
      <c r="C22" s="2" t="s">
        <v>230</v>
      </c>
      <c r="D22" s="58">
        <f t="shared" ref="D22:O22" si="6">D15*D17</f>
        <v>67518</v>
      </c>
      <c r="E22" s="58">
        <f t="shared" si="6"/>
        <v>66957.52</v>
      </c>
      <c r="F22" s="58">
        <f t="shared" si="6"/>
        <v>88337.600000000006</v>
      </c>
      <c r="G22" s="58">
        <f t="shared" si="6"/>
        <v>99960</v>
      </c>
      <c r="H22" s="58">
        <f t="shared" si="6"/>
        <v>116420.5</v>
      </c>
      <c r="I22" s="58">
        <f t="shared" si="6"/>
        <v>124675.2</v>
      </c>
      <c r="J22" s="58">
        <f t="shared" si="6"/>
        <v>151396.56</v>
      </c>
      <c r="K22" s="58">
        <f t="shared" si="6"/>
        <v>149698.38</v>
      </c>
      <c r="L22" s="58">
        <f t="shared" si="6"/>
        <v>127896</v>
      </c>
      <c r="M22" s="58">
        <f t="shared" si="6"/>
        <v>120438.72</v>
      </c>
      <c r="N22" s="58">
        <f t="shared" si="6"/>
        <v>85863.6</v>
      </c>
      <c r="O22" s="58">
        <f t="shared" si="6"/>
        <v>81939.199999999997</v>
      </c>
      <c r="P22" s="58">
        <f>SUM(D22:O22)</f>
        <v>1281101.28</v>
      </c>
    </row>
    <row r="23" spans="3:16">
      <c r="C23" s="75" t="s">
        <v>231</v>
      </c>
      <c r="D23" s="76">
        <f t="shared" ref="D23:O23" si="7">SUM(D21:D22)</f>
        <v>246543</v>
      </c>
      <c r="E23" s="76">
        <f t="shared" si="7"/>
        <v>237282.64</v>
      </c>
      <c r="F23" s="76">
        <f t="shared" si="7"/>
        <v>304829.19999999995</v>
      </c>
      <c r="G23" s="76">
        <f t="shared" si="7"/>
        <v>327264</v>
      </c>
      <c r="H23" s="76">
        <f t="shared" si="7"/>
        <v>372889.69999999995</v>
      </c>
      <c r="I23" s="76">
        <f t="shared" si="7"/>
        <v>394243.2</v>
      </c>
      <c r="J23" s="76">
        <f t="shared" si="7"/>
        <v>454918.8</v>
      </c>
      <c r="K23" s="76">
        <f t="shared" si="7"/>
        <v>436563.07999999996</v>
      </c>
      <c r="L23" s="76">
        <f t="shared" si="7"/>
        <v>357846</v>
      </c>
      <c r="M23" s="76">
        <f t="shared" si="7"/>
        <v>352424.12</v>
      </c>
      <c r="N23" s="76">
        <f t="shared" si="7"/>
        <v>276696</v>
      </c>
      <c r="O23" s="76">
        <f t="shared" si="7"/>
        <v>283421.84000000003</v>
      </c>
      <c r="P23" s="76">
        <f>SUM(D23:O23)</f>
        <v>4044921.5799999996</v>
      </c>
    </row>
    <row r="24" spans="3:16">
      <c r="C24" s="61" t="s">
        <v>232</v>
      </c>
      <c r="D24" s="63">
        <f t="shared" ref="D24:P24" si="8">D23/D11</f>
        <v>144.6</v>
      </c>
      <c r="E24" s="63">
        <f t="shared" si="8"/>
        <v>146.11000000000001</v>
      </c>
      <c r="F24" s="63">
        <f t="shared" si="8"/>
        <v>151.27999999999997</v>
      </c>
      <c r="G24" s="63">
        <f t="shared" si="8"/>
        <v>155.84</v>
      </c>
      <c r="H24" s="63">
        <f t="shared" si="8"/>
        <v>162.54999999999998</v>
      </c>
      <c r="I24" s="63">
        <f t="shared" si="8"/>
        <v>168.48000000000002</v>
      </c>
      <c r="J24" s="63">
        <f t="shared" si="8"/>
        <v>174.7</v>
      </c>
      <c r="K24" s="63">
        <f t="shared" si="8"/>
        <v>171.73999999999998</v>
      </c>
      <c r="L24" s="63">
        <f t="shared" si="8"/>
        <v>163.4</v>
      </c>
      <c r="M24" s="63">
        <f t="shared" si="8"/>
        <v>160.12</v>
      </c>
      <c r="N24" s="63">
        <f t="shared" si="8"/>
        <v>151.19999999999999</v>
      </c>
      <c r="O24" s="63">
        <f t="shared" si="8"/>
        <v>154.96</v>
      </c>
      <c r="P24" s="63">
        <f t="shared" si="8"/>
        <v>160.04279417583285</v>
      </c>
    </row>
    <row r="25" spans="3:16">
      <c r="C25" s="61" t="s">
        <v>233</v>
      </c>
      <c r="D25" s="63">
        <f t="shared" ref="D25:P25" si="9">D23/D10</f>
        <v>79.53</v>
      </c>
      <c r="E25" s="63">
        <f t="shared" si="9"/>
        <v>84.743800000000007</v>
      </c>
      <c r="F25" s="63">
        <f t="shared" si="9"/>
        <v>98.331999999999979</v>
      </c>
      <c r="G25" s="63">
        <f t="shared" si="9"/>
        <v>109.08799999999999</v>
      </c>
      <c r="H25" s="63">
        <f t="shared" si="9"/>
        <v>120.28699999999999</v>
      </c>
      <c r="I25" s="63">
        <f t="shared" si="9"/>
        <v>131.4144</v>
      </c>
      <c r="J25" s="63">
        <f t="shared" si="9"/>
        <v>146.74799999999999</v>
      </c>
      <c r="K25" s="63">
        <f t="shared" si="9"/>
        <v>140.82679999999999</v>
      </c>
      <c r="L25" s="63">
        <f t="shared" si="9"/>
        <v>119.282</v>
      </c>
      <c r="M25" s="63">
        <f t="shared" si="9"/>
        <v>113.68519999999999</v>
      </c>
      <c r="N25" s="63">
        <f t="shared" si="9"/>
        <v>92.231999999999999</v>
      </c>
      <c r="O25" s="63">
        <f t="shared" si="9"/>
        <v>91.426400000000015</v>
      </c>
      <c r="P25" s="63">
        <f t="shared" si="9"/>
        <v>110.81976931506848</v>
      </c>
    </row>
    <row r="26" spans="3:16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3:16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3:16" ht="20" customHeight="1">
      <c r="C28" s="50" t="s">
        <v>234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3"/>
    </row>
    <row r="29" spans="3:16">
      <c r="C29" s="61" t="s">
        <v>183</v>
      </c>
      <c r="D29" s="71">
        <f>INDEX(Assumptions!$J$8:$J$19,MATCH(D$5,Assumptions!$D$8:$D$19,0))</f>
        <v>0.56000000000000005</v>
      </c>
      <c r="E29" s="71">
        <f>INDEX(Assumptions!$J$8:$J$19,MATCH(E$5,Assumptions!$D$8:$D$19,0))</f>
        <v>0.55000000000000004</v>
      </c>
      <c r="F29" s="71">
        <f>INDEX(Assumptions!$J$8:$J$19,MATCH(F$5,Assumptions!$D$8:$D$19,0))</f>
        <v>0.54</v>
      </c>
      <c r="G29" s="71">
        <f>INDEX(Assumptions!$J$8:$J$19,MATCH(G$5,Assumptions!$D$8:$D$19,0))</f>
        <v>0.53</v>
      </c>
      <c r="H29" s="71">
        <f>INDEX(Assumptions!$J$8:$J$19,MATCH(H$5,Assumptions!$D$8:$D$19,0))</f>
        <v>0.52</v>
      </c>
      <c r="I29" s="71">
        <f>INDEX(Assumptions!$J$8:$J$19,MATCH(I$5,Assumptions!$D$8:$D$19,0))</f>
        <v>0.51</v>
      </c>
      <c r="J29" s="71">
        <f>INDEX(Assumptions!$J$8:$J$19,MATCH(J$5,Assumptions!$D$8:$D$19,0))</f>
        <v>0.5</v>
      </c>
      <c r="K29" s="71">
        <f>INDEX(Assumptions!$J$8:$J$19,MATCH(K$5,Assumptions!$D$8:$D$19,0))</f>
        <v>0.5</v>
      </c>
      <c r="L29" s="71">
        <f>INDEX(Assumptions!$J$8:$J$19,MATCH(L$5,Assumptions!$D$8:$D$19,0))</f>
        <v>0.52</v>
      </c>
      <c r="M29" s="71">
        <f>INDEX(Assumptions!$J$8:$J$19,MATCH(M$5,Assumptions!$D$8:$D$19,0))</f>
        <v>0.53</v>
      </c>
      <c r="N29" s="71">
        <f>INDEX(Assumptions!$J$8:$J$19,MATCH(N$5,Assumptions!$D$8:$D$19,0))</f>
        <v>0.55000000000000004</v>
      </c>
      <c r="O29" s="71">
        <f>INDEX(Assumptions!$J$8:$J$19,MATCH(O$5,Assumptions!$D$8:$D$19,0))</f>
        <v>0.56000000000000005</v>
      </c>
      <c r="P29" s="64">
        <f>P31/P11</f>
        <v>0.52799121626968426</v>
      </c>
    </row>
    <row r="30" spans="3:16">
      <c r="C30" s="61" t="s">
        <v>235</v>
      </c>
      <c r="D30" s="72">
        <f>INDEX(Assumptions!$K$8:$K$19,MATCH(D$5,Assumptions!$D$8:$D$19,0))</f>
        <v>22</v>
      </c>
      <c r="E30" s="72">
        <f>INDEX(Assumptions!$K$8:$K$19,MATCH(E$5,Assumptions!$D$8:$D$19,0))</f>
        <v>22</v>
      </c>
      <c r="F30" s="72">
        <f>INDEX(Assumptions!$K$8:$K$19,MATCH(F$5,Assumptions!$D$8:$D$19,0))</f>
        <v>22</v>
      </c>
      <c r="G30" s="72">
        <f>INDEX(Assumptions!$K$8:$K$19,MATCH(G$5,Assumptions!$D$8:$D$19,0))</f>
        <v>22</v>
      </c>
      <c r="H30" s="72">
        <f>INDEX(Assumptions!$K$8:$K$19,MATCH(H$5,Assumptions!$D$8:$D$19,0))</f>
        <v>22</v>
      </c>
      <c r="I30" s="72">
        <f>INDEX(Assumptions!$K$8:$K$19,MATCH(I$5,Assumptions!$D$8:$D$19,0))</f>
        <v>22</v>
      </c>
      <c r="J30" s="72">
        <f>INDEX(Assumptions!$K$8:$K$19,MATCH(J$5,Assumptions!$D$8:$D$19,0))</f>
        <v>22.75</v>
      </c>
      <c r="K30" s="72">
        <f>INDEX(Assumptions!$K$8:$K$19,MATCH(K$5,Assumptions!$D$8:$D$19,0))</f>
        <v>22.75</v>
      </c>
      <c r="L30" s="72">
        <f>INDEX(Assumptions!$K$8:$K$19,MATCH(L$5,Assumptions!$D$8:$D$19,0))</f>
        <v>22.75</v>
      </c>
      <c r="M30" s="72">
        <f>INDEX(Assumptions!$K$8:$K$19,MATCH(M$5,Assumptions!$D$8:$D$19,0))</f>
        <v>22.75</v>
      </c>
      <c r="N30" s="72">
        <f>INDEX(Assumptions!$K$8:$K$19,MATCH(N$5,Assumptions!$D$8:$D$19,0))</f>
        <v>22.75</v>
      </c>
      <c r="O30" s="72">
        <f>INDEX(Assumptions!$K$8:$K$19,MATCH(O$5,Assumptions!$D$8:$D$19,0))</f>
        <v>22.75</v>
      </c>
      <c r="P30" s="63">
        <f>P32/P31</f>
        <v>22.388311432842873</v>
      </c>
    </row>
    <row r="31" spans="3:16">
      <c r="C31" s="2" t="s">
        <v>236</v>
      </c>
      <c r="D31" s="56">
        <f t="shared" ref="D31:O31" si="10">D11*D29</f>
        <v>954.80000000000007</v>
      </c>
      <c r="E31" s="56">
        <f t="shared" si="10"/>
        <v>893.2</v>
      </c>
      <c r="F31" s="56">
        <f t="shared" si="10"/>
        <v>1088.1000000000001</v>
      </c>
      <c r="G31" s="56">
        <f t="shared" si="10"/>
        <v>1113</v>
      </c>
      <c r="H31" s="56">
        <f t="shared" si="10"/>
        <v>1192.8800000000001</v>
      </c>
      <c r="I31" s="56">
        <f t="shared" si="10"/>
        <v>1193.4000000000001</v>
      </c>
      <c r="J31" s="56">
        <f t="shared" si="10"/>
        <v>1302</v>
      </c>
      <c r="K31" s="56">
        <f t="shared" si="10"/>
        <v>1271</v>
      </c>
      <c r="L31" s="56">
        <f t="shared" si="10"/>
        <v>1138.8</v>
      </c>
      <c r="M31" s="56">
        <f t="shared" si="10"/>
        <v>1166.53</v>
      </c>
      <c r="N31" s="56">
        <f t="shared" si="10"/>
        <v>1006.5000000000001</v>
      </c>
      <c r="O31" s="56">
        <f t="shared" si="10"/>
        <v>1024.24</v>
      </c>
      <c r="P31" s="56">
        <f>SUM(D31:O31)</f>
        <v>13344.45</v>
      </c>
    </row>
    <row r="32" spans="3:16">
      <c r="C32" s="2" t="s">
        <v>237</v>
      </c>
      <c r="D32" s="58">
        <f t="shared" ref="D32:O32" si="11">D31*D30</f>
        <v>21005.600000000002</v>
      </c>
      <c r="E32" s="58">
        <f t="shared" si="11"/>
        <v>19650.400000000001</v>
      </c>
      <c r="F32" s="58">
        <f t="shared" si="11"/>
        <v>23938.200000000004</v>
      </c>
      <c r="G32" s="58">
        <f t="shared" si="11"/>
        <v>24486</v>
      </c>
      <c r="H32" s="58">
        <f t="shared" si="11"/>
        <v>26243.360000000001</v>
      </c>
      <c r="I32" s="58">
        <f t="shared" si="11"/>
        <v>26254.800000000003</v>
      </c>
      <c r="J32" s="58">
        <f t="shared" si="11"/>
        <v>29620.5</v>
      </c>
      <c r="K32" s="58">
        <f t="shared" si="11"/>
        <v>28915.25</v>
      </c>
      <c r="L32" s="58">
        <f t="shared" si="11"/>
        <v>25907.7</v>
      </c>
      <c r="M32" s="58">
        <f t="shared" si="11"/>
        <v>26538.557499999999</v>
      </c>
      <c r="N32" s="58">
        <f t="shared" si="11"/>
        <v>22897.875000000004</v>
      </c>
      <c r="O32" s="58">
        <f t="shared" si="11"/>
        <v>23301.46</v>
      </c>
      <c r="P32" s="58">
        <f>SUM(D32:O32)</f>
        <v>298759.70250000007</v>
      </c>
    </row>
    <row r="33" spans="3:16">
      <c r="C33" s="61" t="s">
        <v>186</v>
      </c>
      <c r="D33" s="72">
        <f>INDEX(Assumptions!$L$8:$L$19,MATCH(D$5,Assumptions!$D$8:$D$19,0))</f>
        <v>18.5</v>
      </c>
      <c r="E33" s="72">
        <f>INDEX(Assumptions!$L$8:$L$19,MATCH(E$5,Assumptions!$D$8:$D$19,0))</f>
        <v>18.7</v>
      </c>
      <c r="F33" s="72">
        <f>INDEX(Assumptions!$L$8:$L$19,MATCH(F$5,Assumptions!$D$8:$D$19,0))</f>
        <v>19</v>
      </c>
      <c r="G33" s="72">
        <f>INDEX(Assumptions!$L$8:$L$19,MATCH(G$5,Assumptions!$D$8:$D$19,0))</f>
        <v>19.2</v>
      </c>
      <c r="H33" s="72">
        <f>INDEX(Assumptions!$L$8:$L$19,MATCH(H$5,Assumptions!$D$8:$D$19,0))</f>
        <v>19.5</v>
      </c>
      <c r="I33" s="72">
        <f>INDEX(Assumptions!$L$8:$L$19,MATCH(I$5,Assumptions!$D$8:$D$19,0))</f>
        <v>19.8</v>
      </c>
      <c r="J33" s="72">
        <f>INDEX(Assumptions!$L$8:$L$19,MATCH(J$5,Assumptions!$D$8:$D$19,0))</f>
        <v>20</v>
      </c>
      <c r="K33" s="72">
        <f>INDEX(Assumptions!$L$8:$L$19,MATCH(K$5,Assumptions!$D$8:$D$19,0))</f>
        <v>20</v>
      </c>
      <c r="L33" s="72">
        <f>INDEX(Assumptions!$L$8:$L$19,MATCH(L$5,Assumptions!$D$8:$D$19,0))</f>
        <v>19.8</v>
      </c>
      <c r="M33" s="72">
        <f>INDEX(Assumptions!$L$8:$L$19,MATCH(M$5,Assumptions!$D$8:$D$19,0))</f>
        <v>19.5</v>
      </c>
      <c r="N33" s="72">
        <f>INDEX(Assumptions!$L$8:$L$19,MATCH(N$5,Assumptions!$D$8:$D$19,0))</f>
        <v>19</v>
      </c>
      <c r="O33" s="72">
        <f>INDEX(Assumptions!$L$8:$L$19,MATCH(O$5,Assumptions!$D$8:$D$19,0))</f>
        <v>19.2</v>
      </c>
      <c r="P33" s="63">
        <f>P34/P11</f>
        <v>19.414006488881853</v>
      </c>
    </row>
    <row r="34" spans="3:16">
      <c r="C34" s="61" t="s">
        <v>238</v>
      </c>
      <c r="D34" s="65">
        <f t="shared" ref="D34:O34" si="12">D11*D33</f>
        <v>31542.5</v>
      </c>
      <c r="E34" s="65">
        <f t="shared" si="12"/>
        <v>30368.799999999999</v>
      </c>
      <c r="F34" s="65">
        <f t="shared" si="12"/>
        <v>38285</v>
      </c>
      <c r="G34" s="65">
        <f t="shared" si="12"/>
        <v>40320</v>
      </c>
      <c r="H34" s="65">
        <f t="shared" si="12"/>
        <v>44733</v>
      </c>
      <c r="I34" s="65">
        <f t="shared" si="12"/>
        <v>46332</v>
      </c>
      <c r="J34" s="65">
        <f t="shared" si="12"/>
        <v>52080</v>
      </c>
      <c r="K34" s="65">
        <f t="shared" si="12"/>
        <v>50840</v>
      </c>
      <c r="L34" s="65">
        <f t="shared" si="12"/>
        <v>43362</v>
      </c>
      <c r="M34" s="65">
        <f t="shared" si="12"/>
        <v>42919.5</v>
      </c>
      <c r="N34" s="65">
        <f t="shared" si="12"/>
        <v>34770</v>
      </c>
      <c r="O34" s="65">
        <f t="shared" si="12"/>
        <v>35116.799999999996</v>
      </c>
      <c r="P34" s="65">
        <f>SUM(D34:O34)</f>
        <v>490669.6</v>
      </c>
    </row>
    <row r="35" spans="3:16">
      <c r="C35" s="61" t="s">
        <v>187</v>
      </c>
      <c r="D35" s="69">
        <f>INDEX(Assumptions!$M$8:$M$19,MATCH(D$5,Assumptions!$D$8:$D$19,0))</f>
        <v>0.04</v>
      </c>
      <c r="E35" s="69">
        <f>INDEX(Assumptions!$M$8:$M$19,MATCH(E$5,Assumptions!$D$8:$D$19,0))</f>
        <v>0.04</v>
      </c>
      <c r="F35" s="69">
        <f>INDEX(Assumptions!$M$8:$M$19,MATCH(F$5,Assumptions!$D$8:$D$19,0))</f>
        <v>0.04</v>
      </c>
      <c r="G35" s="69">
        <f>INDEX(Assumptions!$M$8:$M$19,MATCH(G$5,Assumptions!$D$8:$D$19,0))</f>
        <v>0.04</v>
      </c>
      <c r="H35" s="69">
        <f>INDEX(Assumptions!$M$8:$M$19,MATCH(H$5,Assumptions!$D$8:$D$19,0))</f>
        <v>0.04</v>
      </c>
      <c r="I35" s="69">
        <f>INDEX(Assumptions!$M$8:$M$19,MATCH(I$5,Assumptions!$D$8:$D$19,0))</f>
        <v>0.04</v>
      </c>
      <c r="J35" s="69">
        <f>INDEX(Assumptions!$M$8:$M$19,MATCH(J$5,Assumptions!$D$8:$D$19,0))</f>
        <v>0.04</v>
      </c>
      <c r="K35" s="69">
        <f>INDEX(Assumptions!$M$8:$M$19,MATCH(K$5,Assumptions!$D$8:$D$19,0))</f>
        <v>0.04</v>
      </c>
      <c r="L35" s="69">
        <f>INDEX(Assumptions!$M$8:$M$19,MATCH(L$5,Assumptions!$D$8:$D$19,0))</f>
        <v>0.04</v>
      </c>
      <c r="M35" s="69">
        <f>INDEX(Assumptions!$M$8:$M$19,MATCH(M$5,Assumptions!$D$8:$D$19,0))</f>
        <v>0.04</v>
      </c>
      <c r="N35" s="69">
        <f>INDEX(Assumptions!$M$8:$M$19,MATCH(N$5,Assumptions!$D$8:$D$19,0))</f>
        <v>0.04</v>
      </c>
      <c r="O35" s="69">
        <f>INDEX(Assumptions!$M$8:$M$19,MATCH(O$5,Assumptions!$D$8:$D$19,0))</f>
        <v>0.04</v>
      </c>
      <c r="P35" s="62">
        <f>P36/P23</f>
        <v>3.9999999999999994E-2</v>
      </c>
    </row>
    <row r="36" spans="3:16">
      <c r="C36" s="2" t="s">
        <v>239</v>
      </c>
      <c r="D36" s="58">
        <f t="shared" ref="D36:O36" si="13">D23*D35</f>
        <v>9861.7199999999993</v>
      </c>
      <c r="E36" s="58">
        <f t="shared" si="13"/>
        <v>9491.3056000000015</v>
      </c>
      <c r="F36" s="58">
        <f t="shared" si="13"/>
        <v>12193.167999999998</v>
      </c>
      <c r="G36" s="58">
        <f t="shared" si="13"/>
        <v>13090.56</v>
      </c>
      <c r="H36" s="58">
        <f t="shared" si="13"/>
        <v>14915.587999999998</v>
      </c>
      <c r="I36" s="58">
        <f t="shared" si="13"/>
        <v>15769.728000000001</v>
      </c>
      <c r="J36" s="58">
        <f t="shared" si="13"/>
        <v>18196.752</v>
      </c>
      <c r="K36" s="58">
        <f t="shared" si="13"/>
        <v>17462.5232</v>
      </c>
      <c r="L36" s="58">
        <f t="shared" si="13"/>
        <v>14313.84</v>
      </c>
      <c r="M36" s="58">
        <f t="shared" si="13"/>
        <v>14096.9648</v>
      </c>
      <c r="N36" s="58">
        <f t="shared" si="13"/>
        <v>11067.84</v>
      </c>
      <c r="O36" s="58">
        <f t="shared" si="13"/>
        <v>11336.873600000001</v>
      </c>
      <c r="P36" s="58">
        <f>SUM(D36:O36)</f>
        <v>161796.86319999996</v>
      </c>
    </row>
    <row r="37" spans="3:16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3:16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3:16" ht="20" customHeight="1">
      <c r="C39" s="50" t="s">
        <v>240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3"/>
    </row>
    <row r="40" spans="3:16">
      <c r="C40" s="2" t="s">
        <v>241</v>
      </c>
      <c r="D40" s="73">
        <f>INDEX(Assumptions!$N$8:$N$19,MATCH(D$5,Assumptions!$D$8:$D$19,0))</f>
        <v>5</v>
      </c>
      <c r="E40" s="73">
        <f>INDEX(Assumptions!$N$8:$N$19,MATCH(E$5,Assumptions!$D$8:$D$19,0))</f>
        <v>5</v>
      </c>
      <c r="F40" s="73">
        <f>INDEX(Assumptions!$N$8:$N$19,MATCH(F$5,Assumptions!$D$8:$D$19,0))</f>
        <v>5</v>
      </c>
      <c r="G40" s="73">
        <f>INDEX(Assumptions!$N$8:$N$19,MATCH(G$5,Assumptions!$D$8:$D$19,0))</f>
        <v>5</v>
      </c>
      <c r="H40" s="73">
        <f>INDEX(Assumptions!$N$8:$N$19,MATCH(H$5,Assumptions!$D$8:$D$19,0))</f>
        <v>5</v>
      </c>
      <c r="I40" s="73">
        <f>INDEX(Assumptions!$N$8:$N$19,MATCH(I$5,Assumptions!$D$8:$D$19,0))</f>
        <v>5</v>
      </c>
      <c r="J40" s="73">
        <f>INDEX(Assumptions!$N$8:$N$19,MATCH(J$5,Assumptions!$D$8:$D$19,0))</f>
        <v>5</v>
      </c>
      <c r="K40" s="73">
        <f>INDEX(Assumptions!$N$8:$N$19,MATCH(K$5,Assumptions!$D$8:$D$19,0))</f>
        <v>5</v>
      </c>
      <c r="L40" s="73">
        <f>INDEX(Assumptions!$N$8:$N$19,MATCH(L$5,Assumptions!$D$8:$D$19,0))</f>
        <v>5</v>
      </c>
      <c r="M40" s="73">
        <f>INDEX(Assumptions!$N$8:$N$19,MATCH(M$5,Assumptions!$D$8:$D$19,0))</f>
        <v>5</v>
      </c>
      <c r="N40" s="73">
        <f>INDEX(Assumptions!$N$8:$N$19,MATCH(N$5,Assumptions!$D$8:$D$19,0))</f>
        <v>5</v>
      </c>
      <c r="O40" s="73">
        <f>INDEX(Assumptions!$N$8:$N$19,MATCH(O$5,Assumptions!$D$8:$D$19,0))</f>
        <v>5</v>
      </c>
      <c r="P40" s="60">
        <f>AVERAGE(D40:O40)</f>
        <v>5</v>
      </c>
    </row>
    <row r="41" spans="3:16">
      <c r="C41" s="2" t="s">
        <v>242</v>
      </c>
      <c r="D41" s="74">
        <f>INDEX(Assumptions!$O$8:$O$19,MATCH(D$5,Assumptions!$D$8:$D$19,0))</f>
        <v>6000</v>
      </c>
      <c r="E41" s="74">
        <f>INDEX(Assumptions!$O$8:$O$19,MATCH(E$5,Assumptions!$D$8:$D$19,0))</f>
        <v>6000</v>
      </c>
      <c r="F41" s="74">
        <f>INDEX(Assumptions!$O$8:$O$19,MATCH(F$5,Assumptions!$D$8:$D$19,0))</f>
        <v>6000</v>
      </c>
      <c r="G41" s="74">
        <f>INDEX(Assumptions!$O$8:$O$19,MATCH(G$5,Assumptions!$D$8:$D$19,0))</f>
        <v>6000</v>
      </c>
      <c r="H41" s="74">
        <f>INDEX(Assumptions!$O$8:$O$19,MATCH(H$5,Assumptions!$D$8:$D$19,0))</f>
        <v>6000</v>
      </c>
      <c r="I41" s="74">
        <f>INDEX(Assumptions!$O$8:$O$19,MATCH(I$5,Assumptions!$D$8:$D$19,0))</f>
        <v>6000</v>
      </c>
      <c r="J41" s="74">
        <f>INDEX(Assumptions!$O$8:$O$19,MATCH(J$5,Assumptions!$D$8:$D$19,0))</f>
        <v>6120</v>
      </c>
      <c r="K41" s="74">
        <f>INDEX(Assumptions!$O$8:$O$19,MATCH(K$5,Assumptions!$D$8:$D$19,0))</f>
        <v>6120</v>
      </c>
      <c r="L41" s="74">
        <f>INDEX(Assumptions!$O$8:$O$19,MATCH(L$5,Assumptions!$D$8:$D$19,0))</f>
        <v>6120</v>
      </c>
      <c r="M41" s="74">
        <f>INDEX(Assumptions!$O$8:$O$19,MATCH(M$5,Assumptions!$D$8:$D$19,0))</f>
        <v>6120</v>
      </c>
      <c r="N41" s="74">
        <f>INDEX(Assumptions!$O$8:$O$19,MATCH(N$5,Assumptions!$D$8:$D$19,0))</f>
        <v>6120</v>
      </c>
      <c r="O41" s="74">
        <f>INDEX(Assumptions!$O$8:$O$19,MATCH(O$5,Assumptions!$D$8:$D$19,0))</f>
        <v>6120</v>
      </c>
      <c r="P41" s="58">
        <f>P42/SUM(D40:O40)</f>
        <v>6060</v>
      </c>
    </row>
    <row r="42" spans="3:16">
      <c r="C42" s="2" t="s">
        <v>243</v>
      </c>
      <c r="D42" s="58">
        <f t="shared" ref="D42:O42" si="14">D40*D41</f>
        <v>30000</v>
      </c>
      <c r="E42" s="58">
        <f t="shared" si="14"/>
        <v>30000</v>
      </c>
      <c r="F42" s="58">
        <f t="shared" si="14"/>
        <v>30000</v>
      </c>
      <c r="G42" s="58">
        <f t="shared" si="14"/>
        <v>30000</v>
      </c>
      <c r="H42" s="58">
        <f t="shared" si="14"/>
        <v>30000</v>
      </c>
      <c r="I42" s="58">
        <f t="shared" si="14"/>
        <v>30000</v>
      </c>
      <c r="J42" s="58">
        <f t="shared" si="14"/>
        <v>30600</v>
      </c>
      <c r="K42" s="58">
        <f t="shared" si="14"/>
        <v>30600</v>
      </c>
      <c r="L42" s="58">
        <f t="shared" si="14"/>
        <v>30600</v>
      </c>
      <c r="M42" s="58">
        <f t="shared" si="14"/>
        <v>30600</v>
      </c>
      <c r="N42" s="58">
        <f t="shared" si="14"/>
        <v>30600</v>
      </c>
      <c r="O42" s="58">
        <f t="shared" si="14"/>
        <v>30600</v>
      </c>
      <c r="P42" s="58">
        <f>SUM(D42:O42)</f>
        <v>363600</v>
      </c>
    </row>
    <row r="43" spans="3:16">
      <c r="C43" s="2" t="s">
        <v>67</v>
      </c>
      <c r="D43" s="74">
        <f>INDEX(Assumptions!$P$8:$P$19,MATCH(D$5,Assumptions!$D$8:$D$19,0))</f>
        <v>78000</v>
      </c>
      <c r="E43" s="74">
        <f>INDEX(Assumptions!$P$8:$P$19,MATCH(E$5,Assumptions!$D$8:$D$19,0))</f>
        <v>78000</v>
      </c>
      <c r="F43" s="74">
        <f>INDEX(Assumptions!$P$8:$P$19,MATCH(F$5,Assumptions!$D$8:$D$19,0))</f>
        <v>78000</v>
      </c>
      <c r="G43" s="74">
        <f>INDEX(Assumptions!$P$8:$P$19,MATCH(G$5,Assumptions!$D$8:$D$19,0))</f>
        <v>78000</v>
      </c>
      <c r="H43" s="74">
        <f>INDEX(Assumptions!$P$8:$P$19,MATCH(H$5,Assumptions!$D$8:$D$19,0))</f>
        <v>78000</v>
      </c>
      <c r="I43" s="74">
        <f>INDEX(Assumptions!$P$8:$P$19,MATCH(I$5,Assumptions!$D$8:$D$19,0))</f>
        <v>78000</v>
      </c>
      <c r="J43" s="74">
        <f>INDEX(Assumptions!$P$8:$P$19,MATCH(J$5,Assumptions!$D$8:$D$19,0))</f>
        <v>78000</v>
      </c>
      <c r="K43" s="74">
        <f>INDEX(Assumptions!$P$8:$P$19,MATCH(K$5,Assumptions!$D$8:$D$19,0))</f>
        <v>78000</v>
      </c>
      <c r="L43" s="74">
        <f>INDEX(Assumptions!$P$8:$P$19,MATCH(L$5,Assumptions!$D$8:$D$19,0))</f>
        <v>78000</v>
      </c>
      <c r="M43" s="74">
        <f>INDEX(Assumptions!$P$8:$P$19,MATCH(M$5,Assumptions!$D$8:$D$19,0))</f>
        <v>78000</v>
      </c>
      <c r="N43" s="74">
        <f>INDEX(Assumptions!$P$8:$P$19,MATCH(N$5,Assumptions!$D$8:$D$19,0))</f>
        <v>78000</v>
      </c>
      <c r="O43" s="74">
        <f>INDEX(Assumptions!$P$8:$P$19,MATCH(O$5,Assumptions!$D$8:$D$19,0))</f>
        <v>78000</v>
      </c>
      <c r="P43" s="58">
        <f>SUM(D43:O43)</f>
        <v>936000</v>
      </c>
    </row>
    <row r="44" spans="3:16">
      <c r="C44" s="2" t="s">
        <v>191</v>
      </c>
      <c r="D44" s="74">
        <f>INDEX(Assumptions!$Q$8:$Q$19,MATCH(D$5,Assumptions!$D$8:$D$19,0))</f>
        <v>28000</v>
      </c>
      <c r="E44" s="74">
        <f>INDEX(Assumptions!$Q$8:$Q$19,MATCH(E$5,Assumptions!$D$8:$D$19,0))</f>
        <v>28100</v>
      </c>
      <c r="F44" s="74">
        <f>INDEX(Assumptions!$Q$8:$Q$19,MATCH(F$5,Assumptions!$D$8:$D$19,0))</f>
        <v>28500</v>
      </c>
      <c r="G44" s="74">
        <f>INDEX(Assumptions!$Q$8:$Q$19,MATCH(G$5,Assumptions!$D$8:$D$19,0))</f>
        <v>28600</v>
      </c>
      <c r="H44" s="74">
        <f>INDEX(Assumptions!$Q$8:$Q$19,MATCH(H$5,Assumptions!$D$8:$D$19,0))</f>
        <v>28900</v>
      </c>
      <c r="I44" s="74">
        <f>INDEX(Assumptions!$Q$8:$Q$19,MATCH(I$5,Assumptions!$D$8:$D$19,0))</f>
        <v>29200</v>
      </c>
      <c r="J44" s="74">
        <f>INDEX(Assumptions!$Q$8:$Q$19,MATCH(J$5,Assumptions!$D$8:$D$19,0))</f>
        <v>29800</v>
      </c>
      <c r="K44" s="74">
        <f>INDEX(Assumptions!$Q$8:$Q$19,MATCH(K$5,Assumptions!$D$8:$D$19,0))</f>
        <v>30000</v>
      </c>
      <c r="L44" s="74">
        <f>INDEX(Assumptions!$Q$8:$Q$19,MATCH(L$5,Assumptions!$D$8:$D$19,0))</f>
        <v>29400</v>
      </c>
      <c r="M44" s="74">
        <f>INDEX(Assumptions!$Q$8:$Q$19,MATCH(M$5,Assumptions!$D$8:$D$19,0))</f>
        <v>29100</v>
      </c>
      <c r="N44" s="74">
        <f>INDEX(Assumptions!$Q$8:$Q$19,MATCH(N$5,Assumptions!$D$8:$D$19,0))</f>
        <v>28700</v>
      </c>
      <c r="O44" s="74">
        <f>INDEX(Assumptions!$Q$8:$Q$19,MATCH(O$5,Assumptions!$D$8:$D$19,0))</f>
        <v>29000</v>
      </c>
      <c r="P44" s="58">
        <f>SUM(D44:O44)</f>
        <v>347300</v>
      </c>
    </row>
    <row r="45" spans="3:16">
      <c r="C45" s="2" t="s">
        <v>71</v>
      </c>
      <c r="D45" s="74">
        <f>INDEX(Assumptions!$R$8:$R$19,MATCH(D$5,Assumptions!$D$8:$D$19,0))</f>
        <v>10000</v>
      </c>
      <c r="E45" s="74">
        <f>INDEX(Assumptions!$R$8:$R$19,MATCH(E$5,Assumptions!$D$8:$D$19,0))</f>
        <v>9000</v>
      </c>
      <c r="F45" s="74">
        <f>INDEX(Assumptions!$R$8:$R$19,MATCH(F$5,Assumptions!$D$8:$D$19,0))</f>
        <v>11000</v>
      </c>
      <c r="G45" s="74">
        <f>INDEX(Assumptions!$R$8:$R$19,MATCH(G$5,Assumptions!$D$8:$D$19,0))</f>
        <v>13000</v>
      </c>
      <c r="H45" s="74">
        <f>INDEX(Assumptions!$R$8:$R$19,MATCH(H$5,Assumptions!$D$8:$D$19,0))</f>
        <v>14000</v>
      </c>
      <c r="I45" s="74">
        <f>INDEX(Assumptions!$R$8:$R$19,MATCH(I$5,Assumptions!$D$8:$D$19,0))</f>
        <v>24000</v>
      </c>
      <c r="J45" s="74">
        <f>INDEX(Assumptions!$R$8:$R$19,MATCH(J$5,Assumptions!$D$8:$D$19,0))</f>
        <v>18000</v>
      </c>
      <c r="K45" s="74">
        <f>INDEX(Assumptions!$R$8:$R$19,MATCH(K$5,Assumptions!$D$8:$D$19,0))</f>
        <v>15000</v>
      </c>
      <c r="L45" s="74">
        <f>INDEX(Assumptions!$R$8:$R$19,MATCH(L$5,Assumptions!$D$8:$D$19,0))</f>
        <v>12000</v>
      </c>
      <c r="M45" s="74">
        <f>INDEX(Assumptions!$R$8:$R$19,MATCH(M$5,Assumptions!$D$8:$D$19,0))</f>
        <v>13000</v>
      </c>
      <c r="N45" s="74">
        <f>INDEX(Assumptions!$R$8:$R$19,MATCH(N$5,Assumptions!$D$8:$D$19,0))</f>
        <v>12000</v>
      </c>
      <c r="O45" s="74">
        <f>INDEX(Assumptions!$R$8:$R$19,MATCH(O$5,Assumptions!$D$8:$D$19,0))</f>
        <v>16000</v>
      </c>
      <c r="P45" s="58">
        <f>SUM(D45:O45)</f>
        <v>167000</v>
      </c>
    </row>
    <row r="46" spans="3:16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3:16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3:16" ht="20" customHeight="1">
      <c r="C48" s="50" t="s">
        <v>244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3"/>
    </row>
    <row r="49" spans="3:16">
      <c r="C49" s="75" t="s">
        <v>245</v>
      </c>
      <c r="D49" s="76">
        <f t="shared" ref="D49:O49" si="15">SUM(D32,D34,D36,D42:D45)</f>
        <v>208409.82</v>
      </c>
      <c r="E49" s="76">
        <f t="shared" si="15"/>
        <v>204610.5056</v>
      </c>
      <c r="F49" s="76">
        <f t="shared" si="15"/>
        <v>221916.36800000002</v>
      </c>
      <c r="G49" s="76">
        <f t="shared" si="15"/>
        <v>227496.56</v>
      </c>
      <c r="H49" s="76">
        <f t="shared" si="15"/>
        <v>236791.948</v>
      </c>
      <c r="I49" s="76">
        <f t="shared" si="15"/>
        <v>249556.52799999999</v>
      </c>
      <c r="J49" s="76">
        <f t="shared" si="15"/>
        <v>256297.25200000001</v>
      </c>
      <c r="K49" s="76">
        <f t="shared" si="15"/>
        <v>250817.7732</v>
      </c>
      <c r="L49" s="76">
        <f t="shared" si="15"/>
        <v>233583.53999999998</v>
      </c>
      <c r="M49" s="76">
        <f t="shared" si="15"/>
        <v>234255.02230000001</v>
      </c>
      <c r="N49" s="76">
        <f t="shared" si="15"/>
        <v>218035.715</v>
      </c>
      <c r="O49" s="76">
        <f t="shared" si="15"/>
        <v>223355.1336</v>
      </c>
      <c r="P49" s="76">
        <f>SUM(D49:O49)</f>
        <v>2765126.1656999998</v>
      </c>
    </row>
    <row r="50" spans="3:16">
      <c r="C50" s="77" t="s">
        <v>246</v>
      </c>
      <c r="D50" s="78">
        <f t="shared" ref="D50:O50" si="16">D23-D49</f>
        <v>38133.179999999993</v>
      </c>
      <c r="E50" s="78">
        <f t="shared" si="16"/>
        <v>32672.13440000001</v>
      </c>
      <c r="F50" s="78">
        <f t="shared" si="16"/>
        <v>82912.831999999937</v>
      </c>
      <c r="G50" s="78">
        <f t="shared" si="16"/>
        <v>99767.44</v>
      </c>
      <c r="H50" s="78">
        <f t="shared" si="16"/>
        <v>136097.75199999995</v>
      </c>
      <c r="I50" s="78">
        <f t="shared" si="16"/>
        <v>144686.67200000002</v>
      </c>
      <c r="J50" s="78">
        <f t="shared" si="16"/>
        <v>198621.54799999998</v>
      </c>
      <c r="K50" s="78">
        <f t="shared" si="16"/>
        <v>185745.30679999996</v>
      </c>
      <c r="L50" s="78">
        <f t="shared" si="16"/>
        <v>124262.46000000002</v>
      </c>
      <c r="M50" s="78">
        <f t="shared" si="16"/>
        <v>118169.09769999998</v>
      </c>
      <c r="N50" s="78">
        <f t="shared" si="16"/>
        <v>58660.285000000003</v>
      </c>
      <c r="O50" s="78">
        <f t="shared" si="16"/>
        <v>60066.706400000025</v>
      </c>
      <c r="P50" s="78">
        <f>SUM(D50:O50)</f>
        <v>1279795.4142999998</v>
      </c>
    </row>
    <row r="51" spans="3:16">
      <c r="C51" s="66" t="s">
        <v>247</v>
      </c>
      <c r="D51" s="67">
        <f t="shared" ref="D51:P51" si="17">D50/D23</f>
        <v>0.15467151774741117</v>
      </c>
      <c r="E51" s="67">
        <f t="shared" si="17"/>
        <v>0.13769289822466577</v>
      </c>
      <c r="F51" s="67">
        <f t="shared" si="17"/>
        <v>0.27199766951460014</v>
      </c>
      <c r="G51" s="67">
        <f t="shared" si="17"/>
        <v>0.30485308497115482</v>
      </c>
      <c r="H51" s="67">
        <f t="shared" si="17"/>
        <v>0.36498125853301921</v>
      </c>
      <c r="I51" s="67">
        <f t="shared" si="17"/>
        <v>0.36699852273926353</v>
      </c>
      <c r="J51" s="67">
        <f t="shared" si="17"/>
        <v>0.43660879260210828</v>
      </c>
      <c r="K51" s="67">
        <f t="shared" si="17"/>
        <v>0.42547186262292264</v>
      </c>
      <c r="L51" s="67">
        <f t="shared" si="17"/>
        <v>0.34725121979846085</v>
      </c>
      <c r="M51" s="67">
        <f t="shared" si="17"/>
        <v>0.33530366111150389</v>
      </c>
      <c r="N51" s="67">
        <f t="shared" si="17"/>
        <v>0.21200264911672018</v>
      </c>
      <c r="O51" s="67">
        <f t="shared" si="17"/>
        <v>0.21193393706003749</v>
      </c>
      <c r="P51" s="67">
        <f t="shared" si="17"/>
        <v>0.31639560594398469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  <outlinePr summaryBelow="0"/>
  </sheetPr>
  <dimension ref="C2:S170"/>
  <sheetViews>
    <sheetView showGridLines="0" workbookViewId="0">
      <pane xSplit="3" ySplit="26" topLeftCell="D27" activePane="bottomRight" state="frozen"/>
      <selection pane="topRight"/>
      <selection pane="bottomLeft"/>
      <selection pane="bottomRight" activeCell="D27" sqref="D27"/>
    </sheetView>
  </sheetViews>
  <sheetFormatPr defaultRowHeight="13.5" outlineLevelRow="1"/>
  <cols>
    <col min="3" max="3" width="34" customWidth="1"/>
    <col min="4" max="15" width="12" customWidth="1"/>
    <col min="16" max="19" width="15" customWidth="1"/>
  </cols>
  <sheetData>
    <row r="2" spans="3:19" ht="25.05" customHeight="1">
      <c r="C2" s="189" t="s">
        <v>248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3:19">
      <c r="C3" s="174" t="s">
        <v>249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3:19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3:19" ht="13.9">
      <c r="C5" s="1" t="s">
        <v>149</v>
      </c>
      <c r="D5" s="182" t="s">
        <v>150</v>
      </c>
      <c r="E5" s="182"/>
      <c r="F5" s="182" t="s">
        <v>2</v>
      </c>
      <c r="G5" s="182" t="s">
        <v>3</v>
      </c>
      <c r="H5" s="1"/>
      <c r="I5" s="1" t="s">
        <v>250</v>
      </c>
      <c r="J5" s="190">
        <v>46211</v>
      </c>
      <c r="K5" s="182"/>
      <c r="L5" s="182" t="s">
        <v>251</v>
      </c>
      <c r="M5" s="182" t="s">
        <v>252</v>
      </c>
      <c r="N5" s="182"/>
      <c r="O5" s="182" t="s">
        <v>17</v>
      </c>
      <c r="P5" s="182" t="s">
        <v>253</v>
      </c>
      <c r="Q5" s="182"/>
      <c r="R5" s="182" t="s">
        <v>254</v>
      </c>
      <c r="S5" s="182" t="s">
        <v>155</v>
      </c>
    </row>
    <row r="6" spans="3:19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3:19">
      <c r="C7" s="177" t="s">
        <v>255</v>
      </c>
      <c r="D7" s="178"/>
      <c r="E7" s="178"/>
      <c r="F7" s="178"/>
      <c r="G7" s="178"/>
      <c r="H7" s="178"/>
      <c r="I7" s="178"/>
      <c r="J7" s="179"/>
      <c r="K7" s="1"/>
      <c r="L7" s="177" t="s">
        <v>256</v>
      </c>
      <c r="M7" s="178"/>
      <c r="N7" s="178"/>
      <c r="O7" s="178"/>
      <c r="P7" s="178"/>
      <c r="Q7" s="179"/>
      <c r="R7" s="1"/>
      <c r="S7" s="1"/>
    </row>
    <row r="8" spans="3:19" ht="26.25">
      <c r="C8" s="183" t="s">
        <v>218</v>
      </c>
      <c r="D8" s="183" t="s">
        <v>257</v>
      </c>
      <c r="E8" s="183" t="s">
        <v>258</v>
      </c>
      <c r="F8" s="183" t="s">
        <v>259</v>
      </c>
      <c r="G8" s="183" t="s">
        <v>157</v>
      </c>
      <c r="H8" s="183" t="s">
        <v>260</v>
      </c>
      <c r="I8" s="183" t="s">
        <v>159</v>
      </c>
      <c r="J8" s="183" t="s">
        <v>261</v>
      </c>
      <c r="K8" s="1"/>
      <c r="L8" s="183" t="s">
        <v>163</v>
      </c>
      <c r="M8" s="183" t="s">
        <v>155</v>
      </c>
      <c r="N8" s="183" t="s">
        <v>157</v>
      </c>
      <c r="O8" s="183" t="s">
        <v>262</v>
      </c>
      <c r="P8" s="183" t="s">
        <v>159</v>
      </c>
      <c r="Q8" s="183" t="s">
        <v>262</v>
      </c>
      <c r="R8" s="1"/>
      <c r="S8" s="1"/>
    </row>
    <row r="9" spans="3:19" ht="28.05" customHeight="1">
      <c r="C9" s="1" t="s">
        <v>175</v>
      </c>
      <c r="D9" s="192">
        <f>Budget!P11</f>
        <v>25274</v>
      </c>
      <c r="E9" s="192">
        <f>P32</f>
        <v>24518</v>
      </c>
      <c r="F9" s="192">
        <f t="shared" ref="F9:F17" si="0">E9-D9</f>
        <v>-756</v>
      </c>
      <c r="G9" s="192">
        <f>P80</f>
        <v>24850</v>
      </c>
      <c r="H9" s="192">
        <f t="shared" ref="H9:H17" si="1">G9-E9</f>
        <v>332</v>
      </c>
      <c r="I9" s="192">
        <f>P128</f>
        <v>23919</v>
      </c>
      <c r="J9" s="192">
        <f t="shared" ref="J9:J17" si="2">I9-E9</f>
        <v>-599</v>
      </c>
      <c r="K9" s="1"/>
      <c r="L9" s="79" t="s">
        <v>263</v>
      </c>
      <c r="M9" s="192">
        <f>SUM(J32:O32)</f>
        <v>12980</v>
      </c>
      <c r="N9" s="192">
        <f>SUM(J80:O80)</f>
        <v>13312</v>
      </c>
      <c r="O9" s="192">
        <f>N9-M9</f>
        <v>332</v>
      </c>
      <c r="P9" s="192">
        <f>SUM(J128:O128)</f>
        <v>12381</v>
      </c>
      <c r="Q9" s="192">
        <f>P9-M9</f>
        <v>-599</v>
      </c>
      <c r="R9" s="1"/>
      <c r="S9" s="1"/>
    </row>
    <row r="10" spans="3:19" ht="28.05" customHeight="1">
      <c r="C10" s="1" t="s">
        <v>225</v>
      </c>
      <c r="D10" s="191">
        <f>Budget!P12</f>
        <v>0.69243835616438354</v>
      </c>
      <c r="E10" s="191">
        <f>P33</f>
        <v>0.67172602739726028</v>
      </c>
      <c r="F10" s="191">
        <f t="shared" si="0"/>
        <v>-2.0712328767123256E-2</v>
      </c>
      <c r="G10" s="191">
        <f>P81</f>
        <v>0.68082191780821921</v>
      </c>
      <c r="H10" s="191">
        <f t="shared" si="1"/>
        <v>9.0958904109589289E-3</v>
      </c>
      <c r="I10" s="191">
        <f>P129</f>
        <v>0.65531506849315069</v>
      </c>
      <c r="J10" s="191">
        <f t="shared" si="2"/>
        <v>-1.6410958904109596E-2</v>
      </c>
      <c r="K10" s="1"/>
      <c r="L10" s="79" t="s">
        <v>264</v>
      </c>
      <c r="M10" s="191">
        <f>SUM(J36:O36)/SUM(J32:O32)</f>
        <v>0.39694645608628659</v>
      </c>
      <c r="N10" s="191">
        <f>SUM(J84:O84)/SUM(J80:O80)</f>
        <v>0.40205115685096149</v>
      </c>
      <c r="O10" s="191">
        <f>N10-M10</f>
        <v>5.1047007646748965E-3</v>
      </c>
      <c r="P10" s="191">
        <f>SUM(J132:O132)/SUM(J128:O128)</f>
        <v>0.38202366529359505</v>
      </c>
      <c r="Q10" s="191">
        <f>P10-M10</f>
        <v>-1.4922790792691543E-2</v>
      </c>
      <c r="R10" s="1"/>
      <c r="S10" s="1"/>
    </row>
    <row r="11" spans="3:19" ht="28.05" customHeight="1">
      <c r="C11" s="1" t="s">
        <v>178</v>
      </c>
      <c r="D11" s="191">
        <f>Budget!P13</f>
        <v>0.35292395346996919</v>
      </c>
      <c r="E11" s="191">
        <f>P34</f>
        <v>0.39474528917529977</v>
      </c>
      <c r="F11" s="191">
        <f t="shared" si="0"/>
        <v>4.1821335705330587E-2</v>
      </c>
      <c r="G11" s="191">
        <f>P82</f>
        <v>0.39750925553319916</v>
      </c>
      <c r="H11" s="191">
        <f t="shared" si="1"/>
        <v>2.7639663578993834E-3</v>
      </c>
      <c r="I11" s="191">
        <f>P130</f>
        <v>0.38696580124587143</v>
      </c>
      <c r="J11" s="191">
        <f t="shared" si="2"/>
        <v>-7.7794879294283414E-3</v>
      </c>
      <c r="K11" s="1"/>
      <c r="L11" s="79" t="s">
        <v>265</v>
      </c>
      <c r="M11" s="196">
        <f>SUM(J41:O41)/SUM(J35:O35)</f>
        <v>174.00368182726967</v>
      </c>
      <c r="N11" s="196">
        <f>SUM(J89:O89)/SUM(J83:O83)</f>
        <v>175.78525011950535</v>
      </c>
      <c r="O11" s="196">
        <f>N11-M11</f>
        <v>1.7815682922356757</v>
      </c>
      <c r="P11" s="196">
        <f>SUM(J137:O137)/SUM(J131:O131)</f>
        <v>170.58349561145266</v>
      </c>
      <c r="Q11" s="196">
        <f>P11-M11</f>
        <v>-3.4201862158170115</v>
      </c>
      <c r="R11" s="1"/>
      <c r="S11" s="1"/>
    </row>
    <row r="12" spans="3:19" ht="28.05" customHeight="1">
      <c r="C12" s="1" t="s">
        <v>231</v>
      </c>
      <c r="D12" s="193">
        <f>Budget!P23</f>
        <v>4044921.5799999996</v>
      </c>
      <c r="E12" s="193">
        <f>P43</f>
        <v>3903659.3724999996</v>
      </c>
      <c r="F12" s="193">
        <f t="shared" si="0"/>
        <v>-141262.20750000002</v>
      </c>
      <c r="G12" s="193">
        <f>P91</f>
        <v>3974207.8951500002</v>
      </c>
      <c r="H12" s="193">
        <f t="shared" si="1"/>
        <v>70548.522650000639</v>
      </c>
      <c r="I12" s="193">
        <f>P139</f>
        <v>3777975.0359500004</v>
      </c>
      <c r="J12" s="193">
        <f t="shared" si="2"/>
        <v>-125684.33654999919</v>
      </c>
      <c r="K12" s="1"/>
      <c r="L12" s="79" t="s">
        <v>266</v>
      </c>
      <c r="M12" s="196">
        <f>SUM(J42:O42)/SUM(J36:O36)</f>
        <v>146.87664063007958</v>
      </c>
      <c r="N12" s="196">
        <f>SUM(J90:O90)/SUM(J84:O84)</f>
        <v>147.62710403663604</v>
      </c>
      <c r="O12" s="196">
        <f>N12-M12</f>
        <v>0.75046340655646304</v>
      </c>
      <c r="P12" s="196">
        <f>SUM(J138:O138)/SUM(J132:O132)</f>
        <v>145.44959068339594</v>
      </c>
      <c r="Q12" s="196">
        <f>P12-M12</f>
        <v>-1.4270499466836384</v>
      </c>
      <c r="R12" s="1"/>
      <c r="S12" s="1"/>
    </row>
    <row r="13" spans="3:19" ht="28.05" customHeight="1">
      <c r="C13" s="1" t="s">
        <v>232</v>
      </c>
      <c r="D13" s="193">
        <f>Budget!P24</f>
        <v>160.04279417583285</v>
      </c>
      <c r="E13" s="193">
        <f>P44</f>
        <v>159.21606054735295</v>
      </c>
      <c r="F13" s="193">
        <f t="shared" si="0"/>
        <v>-0.82673362847990006</v>
      </c>
      <c r="G13" s="193">
        <f>P92</f>
        <v>159.92788310462777</v>
      </c>
      <c r="H13" s="193">
        <f t="shared" si="1"/>
        <v>0.71182255727481447</v>
      </c>
      <c r="I13" s="193">
        <f>P140</f>
        <v>157.94870337179648</v>
      </c>
      <c r="J13" s="193">
        <f t="shared" si="2"/>
        <v>-1.2673571755564694</v>
      </c>
      <c r="K13" s="1"/>
      <c r="L13" s="79" t="s">
        <v>267</v>
      </c>
      <c r="M13" s="197">
        <f>SUM(J50:O50)/SUM(J32:O32)</f>
        <v>0.54282896764252697</v>
      </c>
      <c r="N13" s="197">
        <f>SUM(J98:O98)/SUM(J80:O80)</f>
        <v>0.5314310396634615</v>
      </c>
      <c r="O13" s="197">
        <f>N13-M13</f>
        <v>-1.139792797906547E-2</v>
      </c>
      <c r="P13" s="197">
        <f>SUM(J146:O146)/SUM(J128:O128)</f>
        <v>0.55839350617882233</v>
      </c>
      <c r="Q13" s="197">
        <f>P13-M13</f>
        <v>1.5564538536295358E-2</v>
      </c>
      <c r="R13" s="1"/>
      <c r="S13" s="1"/>
    </row>
    <row r="14" spans="3:19">
      <c r="C14" s="1" t="s">
        <v>233</v>
      </c>
      <c r="D14" s="193">
        <f>Budget!P25</f>
        <v>110.81976931506848</v>
      </c>
      <c r="E14" s="193">
        <f>P45</f>
        <v>106.94957184931506</v>
      </c>
      <c r="F14" s="193">
        <f t="shared" si="0"/>
        <v>-3.8701974657534208</v>
      </c>
      <c r="G14" s="193">
        <f>P93</f>
        <v>108.88240808630138</v>
      </c>
      <c r="H14" s="193">
        <f t="shared" si="1"/>
        <v>1.9328362369863186</v>
      </c>
      <c r="I14" s="193">
        <f>P141</f>
        <v>103.50616536849316</v>
      </c>
      <c r="J14" s="193">
        <f t="shared" si="2"/>
        <v>-3.4434064808219063</v>
      </c>
      <c r="K14" s="1"/>
      <c r="L14" s="1"/>
      <c r="M14" s="1"/>
      <c r="N14" s="1"/>
      <c r="O14" s="1"/>
      <c r="P14" s="1"/>
      <c r="Q14" s="1"/>
      <c r="R14" s="1"/>
      <c r="S14" s="1"/>
    </row>
    <row r="15" spans="3:19">
      <c r="C15" s="1" t="s">
        <v>245</v>
      </c>
      <c r="D15" s="193">
        <f>Budget!P49</f>
        <v>2765126.1656999998</v>
      </c>
      <c r="E15" s="193">
        <f>P66</f>
        <v>2766112.1949</v>
      </c>
      <c r="F15" s="193">
        <f t="shared" si="0"/>
        <v>986.02920000022277</v>
      </c>
      <c r="G15" s="193">
        <f>P114</f>
        <v>2776133.9283059998</v>
      </c>
      <c r="H15" s="193">
        <f t="shared" si="1"/>
        <v>10021.733405999839</v>
      </c>
      <c r="I15" s="193">
        <f>P162</f>
        <v>2746264.5589379999</v>
      </c>
      <c r="J15" s="193">
        <f t="shared" si="2"/>
        <v>-19847.635962000117</v>
      </c>
      <c r="K15" s="1"/>
      <c r="L15" s="1"/>
      <c r="M15" s="1"/>
      <c r="N15" s="1"/>
      <c r="O15" s="1"/>
      <c r="P15" s="1"/>
      <c r="Q15" s="1"/>
      <c r="R15" s="1"/>
      <c r="S15" s="1"/>
    </row>
    <row r="16" spans="3:19">
      <c r="C16" s="1" t="s">
        <v>246</v>
      </c>
      <c r="D16" s="193">
        <f>Budget!P50</f>
        <v>1279795.4142999998</v>
      </c>
      <c r="E16" s="193">
        <f>P67</f>
        <v>1137547.1776000001</v>
      </c>
      <c r="F16" s="193">
        <f t="shared" si="0"/>
        <v>-142248.23669999978</v>
      </c>
      <c r="G16" s="193">
        <f>P115</f>
        <v>1198073.9668440002</v>
      </c>
      <c r="H16" s="193">
        <f t="shared" si="1"/>
        <v>60526.789244000101</v>
      </c>
      <c r="I16" s="193">
        <f>P163</f>
        <v>1031710.4770119999</v>
      </c>
      <c r="J16" s="193">
        <f t="shared" si="2"/>
        <v>-105836.70058800012</v>
      </c>
      <c r="K16" s="1"/>
      <c r="L16" s="1"/>
      <c r="M16" s="1"/>
      <c r="N16" s="1"/>
      <c r="O16" s="1"/>
      <c r="P16" s="1"/>
      <c r="Q16" s="1"/>
      <c r="R16" s="1"/>
      <c r="S16" s="1"/>
    </row>
    <row r="17" spans="3:19">
      <c r="C17" s="194" t="s">
        <v>247</v>
      </c>
      <c r="D17" s="195">
        <f>Budget!P51</f>
        <v>0.31639560594398469</v>
      </c>
      <c r="E17" s="195">
        <f>P68</f>
        <v>0.29140533767204357</v>
      </c>
      <c r="F17" s="195">
        <f t="shared" si="0"/>
        <v>-2.4990268271941118E-2</v>
      </c>
      <c r="G17" s="195">
        <f>P116</f>
        <v>0.30146232870859435</v>
      </c>
      <c r="H17" s="195">
        <f t="shared" si="1"/>
        <v>1.0056991036550778E-2</v>
      </c>
      <c r="I17" s="195">
        <f>P164</f>
        <v>0.27308557287821478</v>
      </c>
      <c r="J17" s="195">
        <f t="shared" si="2"/>
        <v>-1.8319764793828797E-2</v>
      </c>
      <c r="K17" s="1"/>
      <c r="L17" s="1"/>
      <c r="M17" s="1"/>
      <c r="N17" s="1"/>
      <c r="O17" s="1"/>
      <c r="P17" s="1"/>
      <c r="Q17" s="1"/>
      <c r="R17" s="1"/>
      <c r="S17" s="1"/>
    </row>
    <row r="18" spans="3:19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3:19">
      <c r="C19" s="174" t="s">
        <v>268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3:19">
      <c r="C20" s="174" t="s">
        <v>269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3:19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3:19">
      <c r="C22" s="177" t="s">
        <v>270</v>
      </c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9"/>
    </row>
    <row r="23" spans="3:19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3:19">
      <c r="C24" s="198" t="s">
        <v>271</v>
      </c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</row>
    <row r="25" spans="3:19">
      <c r="C25" s="1" t="s">
        <v>272</v>
      </c>
      <c r="D25" s="203" t="s">
        <v>273</v>
      </c>
      <c r="E25" s="203" t="s">
        <v>273</v>
      </c>
      <c r="F25" s="203" t="s">
        <v>273</v>
      </c>
      <c r="G25" s="203" t="s">
        <v>273</v>
      </c>
      <c r="H25" s="203" t="s">
        <v>273</v>
      </c>
      <c r="I25" s="203" t="s">
        <v>273</v>
      </c>
      <c r="J25" s="204" t="s">
        <v>274</v>
      </c>
      <c r="K25" s="204" t="s">
        <v>274</v>
      </c>
      <c r="L25" s="204" t="s">
        <v>274</v>
      </c>
      <c r="M25" s="204" t="s">
        <v>274</v>
      </c>
      <c r="N25" s="204" t="s">
        <v>274</v>
      </c>
      <c r="O25" s="204" t="s">
        <v>274</v>
      </c>
      <c r="P25" s="153" t="s">
        <v>219</v>
      </c>
      <c r="Q25" s="153" t="s">
        <v>257</v>
      </c>
      <c r="R25" s="153" t="s">
        <v>19</v>
      </c>
      <c r="S25" s="153" t="s">
        <v>275</v>
      </c>
    </row>
    <row r="26" spans="3:19">
      <c r="C26" s="1" t="s">
        <v>276</v>
      </c>
      <c r="D26" s="205">
        <v>46023</v>
      </c>
      <c r="E26" s="205">
        <v>46054</v>
      </c>
      <c r="F26" s="205">
        <v>46082</v>
      </c>
      <c r="G26" s="205">
        <v>46113</v>
      </c>
      <c r="H26" s="205">
        <v>46143</v>
      </c>
      <c r="I26" s="205">
        <v>46174</v>
      </c>
      <c r="J26" s="206">
        <v>46204</v>
      </c>
      <c r="K26" s="206">
        <v>46235</v>
      </c>
      <c r="L26" s="206">
        <v>46266</v>
      </c>
      <c r="M26" s="206">
        <v>46296</v>
      </c>
      <c r="N26" s="206">
        <v>46327</v>
      </c>
      <c r="O26" s="206">
        <v>46357</v>
      </c>
      <c r="P26" s="153" t="s">
        <v>219</v>
      </c>
      <c r="Q26" s="153" t="s">
        <v>257</v>
      </c>
      <c r="R26" s="153" t="s">
        <v>19</v>
      </c>
      <c r="S26" s="153" t="s">
        <v>275</v>
      </c>
    </row>
    <row r="27" spans="3:19">
      <c r="C27" s="1" t="s">
        <v>277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3:19" ht="13.9">
      <c r="C28" s="175" t="s">
        <v>221</v>
      </c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</row>
    <row r="29" spans="3:19">
      <c r="C29" s="1" t="s">
        <v>172</v>
      </c>
      <c r="D29" s="104">
        <f>Budget!D8</f>
        <v>100</v>
      </c>
      <c r="E29" s="104">
        <f>Budget!E8</f>
        <v>100</v>
      </c>
      <c r="F29" s="104">
        <f>Budget!F8</f>
        <v>100</v>
      </c>
      <c r="G29" s="104">
        <f>Budget!G8</f>
        <v>100</v>
      </c>
      <c r="H29" s="104">
        <f>Budget!H8</f>
        <v>100</v>
      </c>
      <c r="I29" s="104">
        <f>Budget!I8</f>
        <v>100</v>
      </c>
      <c r="J29" s="104">
        <f>Assumptions!F41</f>
        <v>100</v>
      </c>
      <c r="K29" s="104">
        <f>Assumptions!G41</f>
        <v>100</v>
      </c>
      <c r="L29" s="104">
        <f>Assumptions!H41</f>
        <v>100</v>
      </c>
      <c r="M29" s="104">
        <f>Assumptions!I41</f>
        <v>100</v>
      </c>
      <c r="N29" s="104">
        <f>Assumptions!J41</f>
        <v>100</v>
      </c>
      <c r="O29" s="104">
        <f>Assumptions!K41</f>
        <v>100</v>
      </c>
      <c r="P29" s="207">
        <f>AVERAGE(D29:O29)</f>
        <v>100</v>
      </c>
      <c r="Q29" s="104">
        <f>Budget!P8</f>
        <v>100</v>
      </c>
      <c r="R29" s="207">
        <f t="shared" ref="R29:R38" si="3">P29-Q29</f>
        <v>0</v>
      </c>
      <c r="S29" s="55">
        <f>IF(Q29=0,"n.a.",R29/ABS(Q29))</f>
        <v>0</v>
      </c>
    </row>
    <row r="30" spans="3:19">
      <c r="C30" s="1" t="s">
        <v>222</v>
      </c>
      <c r="D30" s="207">
        <f t="shared" ref="D30:O30" si="4">DATE(YEAR(D$26),MONTH(D$26)+1,1)-D$26</f>
        <v>31</v>
      </c>
      <c r="E30" s="207">
        <f t="shared" si="4"/>
        <v>28</v>
      </c>
      <c r="F30" s="207">
        <f t="shared" si="4"/>
        <v>31</v>
      </c>
      <c r="G30" s="207">
        <f t="shared" si="4"/>
        <v>30</v>
      </c>
      <c r="H30" s="207">
        <f t="shared" si="4"/>
        <v>31</v>
      </c>
      <c r="I30" s="207">
        <f t="shared" si="4"/>
        <v>30</v>
      </c>
      <c r="J30" s="207">
        <f t="shared" si="4"/>
        <v>31</v>
      </c>
      <c r="K30" s="207">
        <f t="shared" si="4"/>
        <v>31</v>
      </c>
      <c r="L30" s="207">
        <f t="shared" si="4"/>
        <v>30</v>
      </c>
      <c r="M30" s="207">
        <f t="shared" si="4"/>
        <v>31</v>
      </c>
      <c r="N30" s="207">
        <f t="shared" si="4"/>
        <v>30</v>
      </c>
      <c r="O30" s="207">
        <f t="shared" si="4"/>
        <v>31</v>
      </c>
      <c r="P30" s="207">
        <f>SUM(D30:O30)</f>
        <v>365</v>
      </c>
      <c r="Q30" s="104">
        <f>Budget!P9</f>
        <v>365</v>
      </c>
      <c r="R30" s="207">
        <f t="shared" si="3"/>
        <v>0</v>
      </c>
      <c r="S30" s="55">
        <f>IF(Q30=0,"n.a.",R30/ABS(Q30))</f>
        <v>0</v>
      </c>
    </row>
    <row r="31" spans="3:19">
      <c r="C31" s="1" t="s">
        <v>223</v>
      </c>
      <c r="D31" s="207">
        <f t="shared" ref="D31:O31" si="5">D29*D30</f>
        <v>3100</v>
      </c>
      <c r="E31" s="207">
        <f t="shared" si="5"/>
        <v>2800</v>
      </c>
      <c r="F31" s="207">
        <f t="shared" si="5"/>
        <v>3100</v>
      </c>
      <c r="G31" s="207">
        <f t="shared" si="5"/>
        <v>3000</v>
      </c>
      <c r="H31" s="207">
        <f t="shared" si="5"/>
        <v>3100</v>
      </c>
      <c r="I31" s="207">
        <f t="shared" si="5"/>
        <v>3000</v>
      </c>
      <c r="J31" s="207">
        <f t="shared" si="5"/>
        <v>3100</v>
      </c>
      <c r="K31" s="207">
        <f t="shared" si="5"/>
        <v>3100</v>
      </c>
      <c r="L31" s="207">
        <f t="shared" si="5"/>
        <v>3000</v>
      </c>
      <c r="M31" s="207">
        <f t="shared" si="5"/>
        <v>3100</v>
      </c>
      <c r="N31" s="207">
        <f t="shared" si="5"/>
        <v>3000</v>
      </c>
      <c r="O31" s="207">
        <f t="shared" si="5"/>
        <v>3100</v>
      </c>
      <c r="P31" s="207">
        <f>SUM(D31:O31)</f>
        <v>36500</v>
      </c>
      <c r="Q31" s="104">
        <f>Budget!P10</f>
        <v>36500</v>
      </c>
      <c r="R31" s="207">
        <f t="shared" si="3"/>
        <v>0</v>
      </c>
      <c r="S31" s="55">
        <f>IF(Q31=0,"n.a.",R31/ABS(Q31))</f>
        <v>0</v>
      </c>
    </row>
    <row r="32" spans="3:19">
      <c r="C32" s="1" t="s">
        <v>175</v>
      </c>
      <c r="D32" s="207">
        <f t="shared" ref="D32:I32" si="6">SUM(D35:D36)</f>
        <v>1658</v>
      </c>
      <c r="E32" s="207">
        <f t="shared" si="6"/>
        <v>1604</v>
      </c>
      <c r="F32" s="207">
        <f t="shared" si="6"/>
        <v>1922</v>
      </c>
      <c r="G32" s="207">
        <f t="shared" si="6"/>
        <v>1950</v>
      </c>
      <c r="H32" s="207">
        <f t="shared" si="6"/>
        <v>2139</v>
      </c>
      <c r="I32" s="207">
        <f t="shared" si="6"/>
        <v>2265</v>
      </c>
      <c r="J32" s="104">
        <f>Assumptions!F42</f>
        <v>2552</v>
      </c>
      <c r="K32" s="104">
        <f>Assumptions!G42</f>
        <v>2491</v>
      </c>
      <c r="L32" s="104">
        <f>Assumptions!H42</f>
        <v>2146</v>
      </c>
      <c r="M32" s="104">
        <f>Assumptions!I42</f>
        <v>2168</v>
      </c>
      <c r="N32" s="104">
        <f>Assumptions!J42</f>
        <v>1812</v>
      </c>
      <c r="O32" s="104">
        <f>Assumptions!K42</f>
        <v>1811</v>
      </c>
      <c r="P32" s="207">
        <f>SUM(D32:O32)</f>
        <v>24518</v>
      </c>
      <c r="Q32" s="104">
        <f>Budget!P11</f>
        <v>25274</v>
      </c>
      <c r="R32" s="207">
        <f t="shared" si="3"/>
        <v>-756</v>
      </c>
      <c r="S32" s="55">
        <f>IF(Q32=0,"n.a.",R32/ABS(Q32))</f>
        <v>-2.9912162696842604E-2</v>
      </c>
    </row>
    <row r="33" spans="3:19">
      <c r="C33" s="199" t="s">
        <v>225</v>
      </c>
      <c r="D33" s="62">
        <f t="shared" ref="D33:P33" si="7">D32/D31</f>
        <v>0.53483870967741931</v>
      </c>
      <c r="E33" s="62">
        <f t="shared" si="7"/>
        <v>0.57285714285714284</v>
      </c>
      <c r="F33" s="62">
        <f t="shared" si="7"/>
        <v>0.62</v>
      </c>
      <c r="G33" s="62">
        <f t="shared" si="7"/>
        <v>0.65</v>
      </c>
      <c r="H33" s="62">
        <f t="shared" si="7"/>
        <v>0.69</v>
      </c>
      <c r="I33" s="62">
        <f t="shared" si="7"/>
        <v>0.755</v>
      </c>
      <c r="J33" s="62">
        <f t="shared" si="7"/>
        <v>0.82322580645161292</v>
      </c>
      <c r="K33" s="62">
        <f t="shared" si="7"/>
        <v>0.80354838709677423</v>
      </c>
      <c r="L33" s="62">
        <f t="shared" si="7"/>
        <v>0.71533333333333338</v>
      </c>
      <c r="M33" s="62">
        <f t="shared" si="7"/>
        <v>0.69935483870967741</v>
      </c>
      <c r="N33" s="62">
        <f t="shared" si="7"/>
        <v>0.60399999999999998</v>
      </c>
      <c r="O33" s="62">
        <f t="shared" si="7"/>
        <v>0.58419354838709681</v>
      </c>
      <c r="P33" s="62">
        <f t="shared" si="7"/>
        <v>0.67172602739726028</v>
      </c>
      <c r="Q33" s="69">
        <f>Budget!P12</f>
        <v>0.69243835616438354</v>
      </c>
      <c r="R33" s="62">
        <f t="shared" si="3"/>
        <v>-2.0712328767123256E-2</v>
      </c>
      <c r="S33" s="62">
        <f>R33</f>
        <v>-2.0712328767123256E-2</v>
      </c>
    </row>
    <row r="34" spans="3:19">
      <c r="C34" s="199" t="s">
        <v>178</v>
      </c>
      <c r="D34" s="62">
        <f t="shared" ref="D34:I34" si="8">D36/D32</f>
        <v>0.3100120627261761</v>
      </c>
      <c r="E34" s="62">
        <f t="shared" si="8"/>
        <v>0.32980049875311723</v>
      </c>
      <c r="F34" s="62">
        <f t="shared" si="8"/>
        <v>0.37981269510926119</v>
      </c>
      <c r="G34" s="62">
        <f t="shared" si="8"/>
        <v>0.43025641025641026</v>
      </c>
      <c r="H34" s="62">
        <f t="shared" si="8"/>
        <v>0.45021037868162694</v>
      </c>
      <c r="I34" s="62">
        <f t="shared" si="8"/>
        <v>0.41986754966887418</v>
      </c>
      <c r="J34" s="69">
        <f>Assumptions!F43</f>
        <v>0.41</v>
      </c>
      <c r="K34" s="69">
        <f>Assumptions!G43</f>
        <v>0.42</v>
      </c>
      <c r="L34" s="69">
        <f>Assumptions!H43</f>
        <v>0.43</v>
      </c>
      <c r="M34" s="69">
        <f>Assumptions!I43</f>
        <v>0.40500000000000003</v>
      </c>
      <c r="N34" s="69">
        <f>Assumptions!J43</f>
        <v>0.36</v>
      </c>
      <c r="O34" s="69">
        <f>Assumptions!K43</f>
        <v>0.33500000000000002</v>
      </c>
      <c r="P34" s="62">
        <f>P36/P32</f>
        <v>0.39474528917529977</v>
      </c>
      <c r="Q34" s="69">
        <f>Budget!P13</f>
        <v>0.35292395346996919</v>
      </c>
      <c r="R34" s="62">
        <f t="shared" si="3"/>
        <v>4.1821335705330587E-2</v>
      </c>
      <c r="S34" s="62">
        <f>R34</f>
        <v>4.1821335705330587E-2</v>
      </c>
    </row>
    <row r="35" spans="3:19">
      <c r="C35" s="1" t="s">
        <v>226</v>
      </c>
      <c r="D35" s="105">
        <f>SUMIFS(Data!$F$158:$F$193,Data!$D$158:$D$193,D$26,Data!$E$158:$E$193,"Retail/Leisure")</f>
        <v>1144</v>
      </c>
      <c r="E35" s="105">
        <f>SUMIFS(Data!$F$158:$F$193,Data!$D$158:$D$193,E$26,Data!$E$158:$E$193,"Retail/Leisure")</f>
        <v>1075</v>
      </c>
      <c r="F35" s="105">
        <f>SUMIFS(Data!$F$158:$F$193,Data!$D$158:$D$193,F$26,Data!$E$158:$E$193,"Retail/Leisure")</f>
        <v>1192</v>
      </c>
      <c r="G35" s="105">
        <f>SUMIFS(Data!$F$158:$F$193,Data!$D$158:$D$193,G$26,Data!$E$158:$E$193,"Retail/Leisure")</f>
        <v>1111</v>
      </c>
      <c r="H35" s="105">
        <f>SUMIFS(Data!$F$158:$F$193,Data!$D$158:$D$193,H$26,Data!$E$158:$E$193,"Retail/Leisure")</f>
        <v>1176</v>
      </c>
      <c r="I35" s="105">
        <f>SUMIFS(Data!$F$158:$F$193,Data!$D$158:$D$193,I$26,Data!$E$158:$E$193,"Retail/Leisure")</f>
        <v>1314</v>
      </c>
      <c r="J35" s="208">
        <f t="shared" ref="J35:O35" si="9">J32-J36</f>
        <v>1505.68</v>
      </c>
      <c r="K35" s="208">
        <f t="shared" si="9"/>
        <v>1444.78</v>
      </c>
      <c r="L35" s="208">
        <f t="shared" si="9"/>
        <v>1223.22</v>
      </c>
      <c r="M35" s="208">
        <f t="shared" si="9"/>
        <v>1289.96</v>
      </c>
      <c r="N35" s="208">
        <f t="shared" si="9"/>
        <v>1159.68</v>
      </c>
      <c r="O35" s="208">
        <f t="shared" si="9"/>
        <v>1204.3150000000001</v>
      </c>
      <c r="P35" s="208">
        <f>SUM(D35:O35)</f>
        <v>14839.635</v>
      </c>
      <c r="Q35" s="105">
        <f>Budget!P14</f>
        <v>16354.199999999999</v>
      </c>
      <c r="R35" s="208">
        <f t="shared" si="3"/>
        <v>-1514.5649999999987</v>
      </c>
      <c r="S35" s="55">
        <f>IF(Q35=0,"n.a.",R35/ABS(Q35))</f>
        <v>-9.2610155189492532E-2</v>
      </c>
    </row>
    <row r="36" spans="3:19">
      <c r="C36" s="1" t="s">
        <v>227</v>
      </c>
      <c r="D36" s="105">
        <f>SUMIFS(Data!$F$158:$F$193,Data!$D$158:$D$193,D$26,Data!$E$158:$E$193,"Negotiated Corporate")</f>
        <v>514</v>
      </c>
      <c r="E36" s="105">
        <f>SUMIFS(Data!$F$158:$F$193,Data!$D$158:$D$193,E$26,Data!$E$158:$E$193,"Negotiated Corporate")</f>
        <v>529</v>
      </c>
      <c r="F36" s="105">
        <f>SUMIFS(Data!$F$158:$F$193,Data!$D$158:$D$193,F$26,Data!$E$158:$E$193,"Negotiated Corporate")</f>
        <v>730</v>
      </c>
      <c r="G36" s="105">
        <f>SUMIFS(Data!$F$158:$F$193,Data!$D$158:$D$193,G$26,Data!$E$158:$E$193,"Negotiated Corporate")</f>
        <v>839</v>
      </c>
      <c r="H36" s="105">
        <f>SUMIFS(Data!$F$158:$F$193,Data!$D$158:$D$193,H$26,Data!$E$158:$E$193,"Negotiated Corporate")</f>
        <v>963</v>
      </c>
      <c r="I36" s="105">
        <f>SUMIFS(Data!$F$158:$F$193,Data!$D$158:$D$193,I$26,Data!$E$158:$E$193,"Negotiated Corporate")</f>
        <v>951</v>
      </c>
      <c r="J36" s="208">
        <f t="shared" ref="J36:O36" si="10">J32*J34</f>
        <v>1046.32</v>
      </c>
      <c r="K36" s="208">
        <f t="shared" si="10"/>
        <v>1046.22</v>
      </c>
      <c r="L36" s="208">
        <f t="shared" si="10"/>
        <v>922.78</v>
      </c>
      <c r="M36" s="208">
        <f t="shared" si="10"/>
        <v>878.04000000000008</v>
      </c>
      <c r="N36" s="208">
        <f t="shared" si="10"/>
        <v>652.31999999999994</v>
      </c>
      <c r="O36" s="208">
        <f t="shared" si="10"/>
        <v>606.68500000000006</v>
      </c>
      <c r="P36" s="208">
        <f>SUM(D36:O36)</f>
        <v>9678.3649999999998</v>
      </c>
      <c r="Q36" s="105">
        <f>Budget!P15</f>
        <v>8919.8000000000011</v>
      </c>
      <c r="R36" s="208">
        <f t="shared" si="3"/>
        <v>758.56499999999869</v>
      </c>
      <c r="S36" s="55">
        <f>IF(Q36=0,"n.a.",R36/ABS(Q36))</f>
        <v>8.5042826072333308E-2</v>
      </c>
    </row>
    <row r="37" spans="3:19">
      <c r="C37" s="1" t="s">
        <v>180</v>
      </c>
      <c r="D37" s="209">
        <f t="shared" ref="D37:I38" si="11">D41/D35</f>
        <v>151</v>
      </c>
      <c r="E37" s="209">
        <f t="shared" si="11"/>
        <v>153</v>
      </c>
      <c r="F37" s="209">
        <f t="shared" si="11"/>
        <v>158.5</v>
      </c>
      <c r="G37" s="209">
        <f t="shared" si="11"/>
        <v>164</v>
      </c>
      <c r="H37" s="209">
        <f t="shared" si="11"/>
        <v>171</v>
      </c>
      <c r="I37" s="209">
        <f t="shared" si="11"/>
        <v>181</v>
      </c>
      <c r="J37" s="218">
        <f>Assumptions!F44</f>
        <v>188</v>
      </c>
      <c r="K37" s="218">
        <f>Assumptions!G44</f>
        <v>185</v>
      </c>
      <c r="L37" s="218">
        <f>Assumptions!H44</f>
        <v>175</v>
      </c>
      <c r="M37" s="218">
        <f>Assumptions!I44</f>
        <v>170</v>
      </c>
      <c r="N37" s="218">
        <f>Assumptions!J44</f>
        <v>158</v>
      </c>
      <c r="O37" s="218">
        <f>Assumptions!K44</f>
        <v>162</v>
      </c>
      <c r="P37" s="209">
        <f>P41/P35</f>
        <v>169.09595889656316</v>
      </c>
      <c r="Q37" s="218">
        <f>Budget!P16</f>
        <v>168.99758471829867</v>
      </c>
      <c r="R37" s="209">
        <f t="shared" si="3"/>
        <v>9.8374178264492684E-2</v>
      </c>
      <c r="S37" s="55">
        <f>IF(Q37=0,"n.a.",R37/ABS(Q37))</f>
        <v>5.8210404857839929E-4</v>
      </c>
    </row>
    <row r="38" spans="3:19">
      <c r="C38" s="1" t="s">
        <v>181</v>
      </c>
      <c r="D38" s="209">
        <f t="shared" si="11"/>
        <v>132.5</v>
      </c>
      <c r="E38" s="209">
        <f t="shared" si="11"/>
        <v>133</v>
      </c>
      <c r="F38" s="209">
        <f t="shared" si="11"/>
        <v>137.5</v>
      </c>
      <c r="G38" s="209">
        <f t="shared" si="11"/>
        <v>140.5</v>
      </c>
      <c r="H38" s="209">
        <f t="shared" si="11"/>
        <v>145</v>
      </c>
      <c r="I38" s="209">
        <f t="shared" si="11"/>
        <v>148.5</v>
      </c>
      <c r="J38" s="218">
        <f>Assumptions!F45</f>
        <v>153.5</v>
      </c>
      <c r="K38" s="218">
        <f>Assumptions!G45</f>
        <v>151.5</v>
      </c>
      <c r="L38" s="218">
        <f>Assumptions!H45</f>
        <v>146.5</v>
      </c>
      <c r="M38" s="218">
        <f>Assumptions!I45</f>
        <v>144.5</v>
      </c>
      <c r="N38" s="218">
        <f>Assumptions!J45</f>
        <v>138.5</v>
      </c>
      <c r="O38" s="218">
        <f>Assumptions!K45</f>
        <v>140.5</v>
      </c>
      <c r="P38" s="209">
        <f>P42/P36</f>
        <v>144.0674186704056</v>
      </c>
      <c r="Q38" s="218">
        <f>Budget!P17</f>
        <v>143.62444000986568</v>
      </c>
      <c r="R38" s="209">
        <f t="shared" si="3"/>
        <v>0.44297866053992152</v>
      </c>
      <c r="S38" s="55">
        <f>IF(Q38=0,"n.a.",R38/ABS(Q38))</f>
        <v>3.0842846837870557E-3</v>
      </c>
    </row>
    <row r="39" spans="3:19"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11"/>
      <c r="R39" s="2"/>
      <c r="S39" s="55"/>
    </row>
    <row r="40" spans="3:19" ht="13.9">
      <c r="C40" s="175" t="s">
        <v>228</v>
      </c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219"/>
      <c r="R40" s="176"/>
      <c r="S40" s="210"/>
    </row>
    <row r="41" spans="3:19">
      <c r="C41" s="1" t="s">
        <v>229</v>
      </c>
      <c r="D41" s="218">
        <f>SUMIFS(Data!$G$158:$G$193,Data!$D$158:$D$193,D$26,Data!$E$158:$E$193,"Retail/Leisure")</f>
        <v>172744</v>
      </c>
      <c r="E41" s="218">
        <f>SUMIFS(Data!$G$158:$G$193,Data!$D$158:$D$193,E$26,Data!$E$158:$E$193,"Retail/Leisure")</f>
        <v>164475</v>
      </c>
      <c r="F41" s="218">
        <f>SUMIFS(Data!$G$158:$G$193,Data!$D$158:$D$193,F$26,Data!$E$158:$E$193,"Retail/Leisure")</f>
        <v>188932</v>
      </c>
      <c r="G41" s="218">
        <f>SUMIFS(Data!$G$158:$G$193,Data!$D$158:$D$193,G$26,Data!$E$158:$E$193,"Retail/Leisure")</f>
        <v>182204</v>
      </c>
      <c r="H41" s="218">
        <f>SUMIFS(Data!$G$158:$G$193,Data!$D$158:$D$193,H$26,Data!$E$158:$E$193,"Retail/Leisure")</f>
        <v>201096</v>
      </c>
      <c r="I41" s="218">
        <f>SUMIFS(Data!$G$158:$G$193,Data!$D$158:$D$193,I$26,Data!$E$158:$E$193,"Retail/Leisure")</f>
        <v>237834</v>
      </c>
      <c r="J41" s="209">
        <f t="shared" ref="J41:O42" si="12">J35*J37</f>
        <v>283067.84000000003</v>
      </c>
      <c r="K41" s="209">
        <f t="shared" si="12"/>
        <v>267284.3</v>
      </c>
      <c r="L41" s="209">
        <f t="shared" si="12"/>
        <v>214063.5</v>
      </c>
      <c r="M41" s="209">
        <f t="shared" si="12"/>
        <v>219293.2</v>
      </c>
      <c r="N41" s="209">
        <f t="shared" si="12"/>
        <v>183229.44</v>
      </c>
      <c r="O41" s="209">
        <f t="shared" si="12"/>
        <v>195099.03</v>
      </c>
      <c r="P41" s="209">
        <f>SUM(D41:O41)</f>
        <v>2509322.31</v>
      </c>
      <c r="Q41" s="218">
        <f>Budget!P21</f>
        <v>2763820.3</v>
      </c>
      <c r="R41" s="209">
        <f>P41-Q41</f>
        <v>-254497.98999999976</v>
      </c>
      <c r="S41" s="55">
        <f>IF(Q41=0,"n.a.",R41/ABS(Q41))</f>
        <v>-9.2081959887189396E-2</v>
      </c>
    </row>
    <row r="42" spans="3:19">
      <c r="C42" s="1" t="s">
        <v>230</v>
      </c>
      <c r="D42" s="218">
        <f>SUMIFS(Data!$G$158:$G$193,Data!$D$158:$D$193,D$26,Data!$E$158:$E$193,"Negotiated Corporate")</f>
        <v>68105</v>
      </c>
      <c r="E42" s="218">
        <f>SUMIFS(Data!$G$158:$G$193,Data!$D$158:$D$193,E$26,Data!$E$158:$E$193,"Negotiated Corporate")</f>
        <v>70357</v>
      </c>
      <c r="F42" s="218">
        <f>SUMIFS(Data!$G$158:$G$193,Data!$D$158:$D$193,F$26,Data!$E$158:$E$193,"Negotiated Corporate")</f>
        <v>100375</v>
      </c>
      <c r="G42" s="218">
        <f>SUMIFS(Data!$G$158:$G$193,Data!$D$158:$D$193,G$26,Data!$E$158:$E$193,"Negotiated Corporate")</f>
        <v>117879.5</v>
      </c>
      <c r="H42" s="218">
        <f>SUMIFS(Data!$G$158:$G$193,Data!$D$158:$D$193,H$26,Data!$E$158:$E$193,"Negotiated Corporate")</f>
        <v>139635</v>
      </c>
      <c r="I42" s="218">
        <f>SUMIFS(Data!$G$158:$G$193,Data!$D$158:$D$193,I$26,Data!$E$158:$E$193,"Negotiated Corporate")</f>
        <v>141223.5</v>
      </c>
      <c r="J42" s="209">
        <f t="shared" si="12"/>
        <v>160610.12</v>
      </c>
      <c r="K42" s="209">
        <f t="shared" si="12"/>
        <v>158502.33000000002</v>
      </c>
      <c r="L42" s="209">
        <f t="shared" si="12"/>
        <v>135187.26999999999</v>
      </c>
      <c r="M42" s="209">
        <f t="shared" si="12"/>
        <v>126876.78000000001</v>
      </c>
      <c r="N42" s="209">
        <f t="shared" si="12"/>
        <v>90346.319999999992</v>
      </c>
      <c r="O42" s="209">
        <f t="shared" si="12"/>
        <v>85239.242500000008</v>
      </c>
      <c r="P42" s="209">
        <f>SUM(D42:O42)</f>
        <v>1394337.0625</v>
      </c>
      <c r="Q42" s="218">
        <f>Budget!P22</f>
        <v>1281101.28</v>
      </c>
      <c r="R42" s="209">
        <f>P42-Q42</f>
        <v>113235.78249999997</v>
      </c>
      <c r="S42" s="55">
        <f>IF(Q42=0,"n.a.",R42/ABS(Q42))</f>
        <v>8.8389407042041179E-2</v>
      </c>
    </row>
    <row r="43" spans="3:19" ht="13.9">
      <c r="C43" s="200" t="s">
        <v>231</v>
      </c>
      <c r="D43" s="211">
        <f t="shared" ref="D43:O43" si="13">SUM(D41:D42)</f>
        <v>240849</v>
      </c>
      <c r="E43" s="211">
        <f t="shared" si="13"/>
        <v>234832</v>
      </c>
      <c r="F43" s="211">
        <f t="shared" si="13"/>
        <v>289307</v>
      </c>
      <c r="G43" s="211">
        <f t="shared" si="13"/>
        <v>300083.5</v>
      </c>
      <c r="H43" s="211">
        <f t="shared" si="13"/>
        <v>340731</v>
      </c>
      <c r="I43" s="211">
        <f t="shared" si="13"/>
        <v>379057.5</v>
      </c>
      <c r="J43" s="211">
        <f t="shared" si="13"/>
        <v>443677.96</v>
      </c>
      <c r="K43" s="211">
        <f t="shared" si="13"/>
        <v>425786.63</v>
      </c>
      <c r="L43" s="211">
        <f t="shared" si="13"/>
        <v>349250.77</v>
      </c>
      <c r="M43" s="211">
        <f t="shared" si="13"/>
        <v>346169.98000000004</v>
      </c>
      <c r="N43" s="211">
        <f t="shared" si="13"/>
        <v>273575.76</v>
      </c>
      <c r="O43" s="211">
        <f t="shared" si="13"/>
        <v>280338.27250000002</v>
      </c>
      <c r="P43" s="211">
        <f>SUM(D43:O43)</f>
        <v>3903659.3724999996</v>
      </c>
      <c r="Q43" s="220">
        <f>Budget!P23</f>
        <v>4044921.5799999996</v>
      </c>
      <c r="R43" s="211">
        <f>P43-Q43</f>
        <v>-141262.20750000002</v>
      </c>
      <c r="S43" s="212">
        <f>IF(Q43=0,"n.a.",R43/ABS(Q43))</f>
        <v>-3.4923348872439704E-2</v>
      </c>
    </row>
    <row r="44" spans="3:19">
      <c r="C44" s="199" t="s">
        <v>232</v>
      </c>
      <c r="D44" s="213">
        <f t="shared" ref="D44:P44" si="14">D43/D32</f>
        <v>145.26477683956574</v>
      </c>
      <c r="E44" s="213">
        <f t="shared" si="14"/>
        <v>146.40399002493766</v>
      </c>
      <c r="F44" s="213">
        <f t="shared" si="14"/>
        <v>150.52393340270552</v>
      </c>
      <c r="G44" s="213">
        <f t="shared" si="14"/>
        <v>153.88897435897437</v>
      </c>
      <c r="H44" s="213">
        <f t="shared" si="14"/>
        <v>159.29453015427771</v>
      </c>
      <c r="I44" s="213">
        <f t="shared" si="14"/>
        <v>167.35430463576159</v>
      </c>
      <c r="J44" s="213">
        <f t="shared" si="14"/>
        <v>173.85500000000002</v>
      </c>
      <c r="K44" s="213">
        <f t="shared" si="14"/>
        <v>170.93</v>
      </c>
      <c r="L44" s="213">
        <f t="shared" si="14"/>
        <v>162.745</v>
      </c>
      <c r="M44" s="213">
        <f t="shared" si="14"/>
        <v>159.67250000000001</v>
      </c>
      <c r="N44" s="213">
        <f t="shared" si="14"/>
        <v>150.98000000000002</v>
      </c>
      <c r="O44" s="213">
        <f t="shared" si="14"/>
        <v>154.79750000000001</v>
      </c>
      <c r="P44" s="213">
        <f t="shared" si="14"/>
        <v>159.21606054735295</v>
      </c>
      <c r="Q44" s="221">
        <f>Budget!P24</f>
        <v>160.04279417583285</v>
      </c>
      <c r="R44" s="213">
        <f>P44-Q44</f>
        <v>-0.82673362847990006</v>
      </c>
      <c r="S44" s="62">
        <f>IF(Q44=0,"n.a.",R44/ABS(Q44))</f>
        <v>-5.1657035403393399E-3</v>
      </c>
    </row>
    <row r="45" spans="3:19">
      <c r="C45" s="199" t="s">
        <v>233</v>
      </c>
      <c r="D45" s="213">
        <f t="shared" ref="D45:P45" si="15">D43/D31</f>
        <v>77.693225806451608</v>
      </c>
      <c r="E45" s="213">
        <f t="shared" si="15"/>
        <v>83.868571428571428</v>
      </c>
      <c r="F45" s="213">
        <f t="shared" si="15"/>
        <v>93.324838709677422</v>
      </c>
      <c r="G45" s="213">
        <f t="shared" si="15"/>
        <v>100.02783333333333</v>
      </c>
      <c r="H45" s="213">
        <f t="shared" si="15"/>
        <v>109.91322580645161</v>
      </c>
      <c r="I45" s="213">
        <f t="shared" si="15"/>
        <v>126.35250000000001</v>
      </c>
      <c r="J45" s="213">
        <f t="shared" si="15"/>
        <v>143.12192258064516</v>
      </c>
      <c r="K45" s="213">
        <f t="shared" si="15"/>
        <v>137.35052580645163</v>
      </c>
      <c r="L45" s="213">
        <f t="shared" si="15"/>
        <v>116.41692333333334</v>
      </c>
      <c r="M45" s="213">
        <f t="shared" si="15"/>
        <v>111.66773548387098</v>
      </c>
      <c r="N45" s="213">
        <f t="shared" si="15"/>
        <v>91.191919999999996</v>
      </c>
      <c r="O45" s="213">
        <f t="shared" si="15"/>
        <v>90.431700806451616</v>
      </c>
      <c r="P45" s="213">
        <f t="shared" si="15"/>
        <v>106.94957184931506</v>
      </c>
      <c r="Q45" s="221">
        <f>Budget!P25</f>
        <v>110.81976931506848</v>
      </c>
      <c r="R45" s="213">
        <f>P45-Q45</f>
        <v>-3.8701974657534208</v>
      </c>
      <c r="S45" s="62">
        <f>IF(Q45=0,"n.a.",R45/ABS(Q45))</f>
        <v>-3.4923348872439669E-2</v>
      </c>
    </row>
    <row r="46" spans="3:19"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11"/>
      <c r="R46" s="2"/>
      <c r="S46" s="55"/>
    </row>
    <row r="47" spans="3:19" ht="13.9">
      <c r="C47" s="175" t="s">
        <v>234</v>
      </c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219"/>
      <c r="R47" s="176"/>
      <c r="S47" s="210"/>
    </row>
    <row r="48" spans="3:19">
      <c r="C48" s="199" t="s">
        <v>183</v>
      </c>
      <c r="D48" s="64">
        <f t="shared" ref="D48:I48" si="16">D50/D32</f>
        <v>0.56999999999999995</v>
      </c>
      <c r="E48" s="64">
        <f t="shared" si="16"/>
        <v>0.55000000000000004</v>
      </c>
      <c r="F48" s="64">
        <f t="shared" si="16"/>
        <v>0.55999999999999994</v>
      </c>
      <c r="G48" s="64">
        <f t="shared" si="16"/>
        <v>0.62</v>
      </c>
      <c r="H48" s="64">
        <f t="shared" si="16"/>
        <v>0.60000000000000009</v>
      </c>
      <c r="I48" s="64">
        <f t="shared" si="16"/>
        <v>0.56000000000000005</v>
      </c>
      <c r="J48" s="71">
        <f>Assumptions!F46</f>
        <v>0.55000000000000004</v>
      </c>
      <c r="K48" s="71">
        <f>Assumptions!G46</f>
        <v>0.54</v>
      </c>
      <c r="L48" s="71">
        <f>Assumptions!H46</f>
        <v>0.53</v>
      </c>
      <c r="M48" s="71">
        <f>Assumptions!I46</f>
        <v>0.53</v>
      </c>
      <c r="N48" s="71">
        <f>Assumptions!J46</f>
        <v>0.55000000000000004</v>
      </c>
      <c r="O48" s="71">
        <f>Assumptions!K46</f>
        <v>0.56000000000000005</v>
      </c>
      <c r="P48" s="64">
        <f>P50/P32</f>
        <v>0.55919324577861163</v>
      </c>
      <c r="Q48" s="71">
        <f>Budget!P29</f>
        <v>0.52799121626968426</v>
      </c>
      <c r="R48" s="64">
        <f t="shared" ref="R48:R55" si="17">P48-Q48</f>
        <v>3.1202029508927365E-2</v>
      </c>
      <c r="S48" s="62">
        <f t="shared" ref="S48:S53" si="18">IF(Q48=0,"n.a.",R48/ABS(Q48))</f>
        <v>5.9095735965785795E-2</v>
      </c>
    </row>
    <row r="49" spans="3:19">
      <c r="C49" s="199" t="s">
        <v>278</v>
      </c>
      <c r="D49" s="213">
        <f t="shared" ref="D49:I49" si="19">D51/D50</f>
        <v>21.899995767464503</v>
      </c>
      <c r="E49" s="213">
        <f t="shared" si="19"/>
        <v>22</v>
      </c>
      <c r="F49" s="213">
        <f t="shared" si="19"/>
        <v>22.09999814181656</v>
      </c>
      <c r="G49" s="213">
        <f t="shared" si="19"/>
        <v>23.25</v>
      </c>
      <c r="H49" s="213">
        <f t="shared" si="19"/>
        <v>23.249999999999996</v>
      </c>
      <c r="I49" s="213">
        <f t="shared" si="19"/>
        <v>23.249999999999996</v>
      </c>
      <c r="J49" s="221">
        <f>Assumptions!F47</f>
        <v>23.25</v>
      </c>
      <c r="K49" s="221">
        <f>Assumptions!G47</f>
        <v>23.25</v>
      </c>
      <c r="L49" s="221">
        <f>Assumptions!H47</f>
        <v>23.25</v>
      </c>
      <c r="M49" s="221">
        <f>Assumptions!I47</f>
        <v>23.25</v>
      </c>
      <c r="N49" s="221">
        <f>Assumptions!J47</f>
        <v>23.25</v>
      </c>
      <c r="O49" s="221">
        <f>Assumptions!K47</f>
        <v>23.25</v>
      </c>
      <c r="P49" s="213">
        <f>P51/P50</f>
        <v>22.986230789990007</v>
      </c>
      <c r="Q49" s="221">
        <f>Budget!P30</f>
        <v>22.388311432842873</v>
      </c>
      <c r="R49" s="213">
        <f t="shared" si="17"/>
        <v>0.59791935714713418</v>
      </c>
      <c r="S49" s="62">
        <f t="shared" si="18"/>
        <v>2.6706764328372139E-2</v>
      </c>
    </row>
    <row r="50" spans="3:19">
      <c r="C50" s="1" t="s">
        <v>236</v>
      </c>
      <c r="D50" s="105">
        <f>SUMIFS(Data!$E$200:$E$217,Data!$D$200:$D$217,D$26)</f>
        <v>945.06</v>
      </c>
      <c r="E50" s="105">
        <f>SUMIFS(Data!$E$200:$E$217,Data!$D$200:$D$217,E$26)</f>
        <v>882.2</v>
      </c>
      <c r="F50" s="105">
        <f>SUMIFS(Data!$E$200:$E$217,Data!$D$200:$D$217,F$26)</f>
        <v>1076.32</v>
      </c>
      <c r="G50" s="105">
        <f>SUMIFS(Data!$E$200:$E$217,Data!$D$200:$D$217,G$26)</f>
        <v>1209</v>
      </c>
      <c r="H50" s="105">
        <f>SUMIFS(Data!$E$200:$E$217,Data!$D$200:$D$217,H$26)</f>
        <v>1283.4000000000001</v>
      </c>
      <c r="I50" s="105">
        <f>SUMIFS(Data!$E$200:$E$217,Data!$D$200:$D$217,I$26)</f>
        <v>1268.4000000000001</v>
      </c>
      <c r="J50" s="208">
        <f t="shared" ref="J50:O50" si="20">J32*J48</f>
        <v>1403.6000000000001</v>
      </c>
      <c r="K50" s="208">
        <f t="shared" si="20"/>
        <v>1345.14</v>
      </c>
      <c r="L50" s="208">
        <f t="shared" si="20"/>
        <v>1137.3800000000001</v>
      </c>
      <c r="M50" s="208">
        <f t="shared" si="20"/>
        <v>1149.04</v>
      </c>
      <c r="N50" s="208">
        <f t="shared" si="20"/>
        <v>996.60000000000014</v>
      </c>
      <c r="O50" s="208">
        <f t="shared" si="20"/>
        <v>1014.1600000000001</v>
      </c>
      <c r="P50" s="208">
        <f>SUM(D50:O50)</f>
        <v>13710.300000000001</v>
      </c>
      <c r="Q50" s="105">
        <f>Budget!P31</f>
        <v>13344.45</v>
      </c>
      <c r="R50" s="208">
        <f t="shared" si="17"/>
        <v>365.85000000000036</v>
      </c>
      <c r="S50" s="55">
        <f t="shared" si="18"/>
        <v>2.7415892000044989E-2</v>
      </c>
    </row>
    <row r="51" spans="3:19">
      <c r="C51" s="1" t="s">
        <v>237</v>
      </c>
      <c r="D51" s="218">
        <f>SUMIFS(Data!$F$200:$F$217,Data!$D$200:$D$217,D$26)</f>
        <v>20696.810000000001</v>
      </c>
      <c r="E51" s="218">
        <f>SUMIFS(Data!$F$200:$F$217,Data!$D$200:$D$217,E$26)</f>
        <v>19408.400000000001</v>
      </c>
      <c r="F51" s="218">
        <f>SUMIFS(Data!$F$200:$F$217,Data!$D$200:$D$217,F$26)</f>
        <v>23786.67</v>
      </c>
      <c r="G51" s="218">
        <f>SUMIFS(Data!$F$200:$F$217,Data!$D$200:$D$217,G$26)</f>
        <v>28109.25</v>
      </c>
      <c r="H51" s="218">
        <f>SUMIFS(Data!$F$200:$F$217,Data!$D$200:$D$217,H$26)</f>
        <v>29839.05</v>
      </c>
      <c r="I51" s="218">
        <f>SUMIFS(Data!$F$200:$F$217,Data!$D$200:$D$217,I$26)</f>
        <v>29490.3</v>
      </c>
      <c r="J51" s="209">
        <f t="shared" ref="J51:O51" si="21">J50*J49</f>
        <v>32633.700000000004</v>
      </c>
      <c r="K51" s="209">
        <f t="shared" si="21"/>
        <v>31274.505000000001</v>
      </c>
      <c r="L51" s="209">
        <f t="shared" si="21"/>
        <v>26444.085000000003</v>
      </c>
      <c r="M51" s="209">
        <f t="shared" si="21"/>
        <v>26715.18</v>
      </c>
      <c r="N51" s="209">
        <f t="shared" si="21"/>
        <v>23170.950000000004</v>
      </c>
      <c r="O51" s="209">
        <f t="shared" si="21"/>
        <v>23579.22</v>
      </c>
      <c r="P51" s="209">
        <f>SUM(D51:O51)</f>
        <v>315148.12</v>
      </c>
      <c r="Q51" s="218">
        <f>Budget!P32</f>
        <v>298759.70250000007</v>
      </c>
      <c r="R51" s="209">
        <f t="shared" si="17"/>
        <v>16388.417499999923</v>
      </c>
      <c r="S51" s="55">
        <f t="shared" si="18"/>
        <v>5.4854846094914422E-2</v>
      </c>
    </row>
    <row r="52" spans="3:19">
      <c r="C52" s="199" t="s">
        <v>186</v>
      </c>
      <c r="D52" s="213">
        <f t="shared" ref="D52:I52" si="22">D53/D32</f>
        <v>18.599999999999998</v>
      </c>
      <c r="E52" s="213">
        <f t="shared" si="22"/>
        <v>18.5</v>
      </c>
      <c r="F52" s="213">
        <f t="shared" si="22"/>
        <v>19.099999999999998</v>
      </c>
      <c r="G52" s="213">
        <f t="shared" si="22"/>
        <v>19.399999999999999</v>
      </c>
      <c r="H52" s="213">
        <f t="shared" si="22"/>
        <v>19.799999999999997</v>
      </c>
      <c r="I52" s="213">
        <f t="shared" si="22"/>
        <v>20.100000000000001</v>
      </c>
      <c r="J52" s="221">
        <f>Assumptions!F48</f>
        <v>20</v>
      </c>
      <c r="K52" s="221">
        <f>Assumptions!G48</f>
        <v>20</v>
      </c>
      <c r="L52" s="221">
        <f>Assumptions!H48</f>
        <v>19.8</v>
      </c>
      <c r="M52" s="221">
        <f>Assumptions!I48</f>
        <v>19.5</v>
      </c>
      <c r="N52" s="221">
        <f>Assumptions!J48</f>
        <v>19</v>
      </c>
      <c r="O52" s="221">
        <f>Assumptions!K48</f>
        <v>19.2</v>
      </c>
      <c r="P52" s="213">
        <f>P53/P32</f>
        <v>19.485998042254671</v>
      </c>
      <c r="Q52" s="221">
        <f>Budget!P33</f>
        <v>19.414006488881853</v>
      </c>
      <c r="R52" s="213">
        <f t="shared" si="17"/>
        <v>7.1991553372818373E-2</v>
      </c>
      <c r="S52" s="62">
        <f t="shared" si="18"/>
        <v>3.7082275322225214E-3</v>
      </c>
    </row>
    <row r="53" spans="3:19">
      <c r="C53" s="1" t="s">
        <v>238</v>
      </c>
      <c r="D53" s="218">
        <f>SUMIFS(Data!$G$8:$G$151,Data!$D$8:$D$151,D$26,Data!$F$8:$F$151,"Guest Services")</f>
        <v>30838.799999999999</v>
      </c>
      <c r="E53" s="218">
        <f>SUMIFS(Data!$G$8:$G$151,Data!$D$8:$D$151,E$26,Data!$F$8:$F$151,"Guest Services")</f>
        <v>29674</v>
      </c>
      <c r="F53" s="218">
        <f>SUMIFS(Data!$G$8:$G$151,Data!$D$8:$D$151,F$26,Data!$F$8:$F$151,"Guest Services")</f>
        <v>36710.199999999997</v>
      </c>
      <c r="G53" s="218">
        <f>SUMIFS(Data!$G$8:$G$151,Data!$D$8:$D$151,G$26,Data!$F$8:$F$151,"Guest Services")</f>
        <v>37830</v>
      </c>
      <c r="H53" s="218">
        <f>SUMIFS(Data!$G$8:$G$151,Data!$D$8:$D$151,H$26,Data!$F$8:$F$151,"Guest Services")</f>
        <v>42352.2</v>
      </c>
      <c r="I53" s="218">
        <f>SUMIFS(Data!$G$8:$G$151,Data!$D$8:$D$151,I$26,Data!$F$8:$F$151,"Guest Services")</f>
        <v>45526.5</v>
      </c>
      <c r="J53" s="209">
        <f t="shared" ref="J53:O53" si="23">J32*J52</f>
        <v>51040</v>
      </c>
      <c r="K53" s="209">
        <f t="shared" si="23"/>
        <v>49820</v>
      </c>
      <c r="L53" s="209">
        <f t="shared" si="23"/>
        <v>42490.8</v>
      </c>
      <c r="M53" s="209">
        <f t="shared" si="23"/>
        <v>42276</v>
      </c>
      <c r="N53" s="209">
        <f t="shared" si="23"/>
        <v>34428</v>
      </c>
      <c r="O53" s="209">
        <f t="shared" si="23"/>
        <v>34771.199999999997</v>
      </c>
      <c r="P53" s="209">
        <f>SUM(D53:O53)</f>
        <v>477757.7</v>
      </c>
      <c r="Q53" s="218">
        <f>Budget!P34</f>
        <v>490669.6</v>
      </c>
      <c r="R53" s="209">
        <f t="shared" si="17"/>
        <v>-12911.899999999965</v>
      </c>
      <c r="S53" s="55">
        <f t="shared" si="18"/>
        <v>-2.6314856269880924E-2</v>
      </c>
    </row>
    <row r="54" spans="3:19">
      <c r="C54" s="199" t="s">
        <v>187</v>
      </c>
      <c r="D54" s="62">
        <f t="shared" ref="D54:I54" si="24">D55/D43</f>
        <v>3.9999999999999994E-2</v>
      </c>
      <c r="E54" s="62">
        <f t="shared" si="24"/>
        <v>0.04</v>
      </c>
      <c r="F54" s="62">
        <f t="shared" si="24"/>
        <v>0.04</v>
      </c>
      <c r="G54" s="62">
        <f t="shared" si="24"/>
        <v>0.04</v>
      </c>
      <c r="H54" s="62">
        <f t="shared" si="24"/>
        <v>0.04</v>
      </c>
      <c r="I54" s="62">
        <f t="shared" si="24"/>
        <v>0.04</v>
      </c>
      <c r="J54" s="69">
        <f>Assumptions!F49</f>
        <v>0.04</v>
      </c>
      <c r="K54" s="69">
        <f>Assumptions!G49</f>
        <v>0.04</v>
      </c>
      <c r="L54" s="69">
        <f>Assumptions!H49</f>
        <v>0.04</v>
      </c>
      <c r="M54" s="69">
        <f>Assumptions!I49</f>
        <v>0.04</v>
      </c>
      <c r="N54" s="69">
        <f>Assumptions!J49</f>
        <v>0.04</v>
      </c>
      <c r="O54" s="69">
        <f>Assumptions!K49</f>
        <v>0.04</v>
      </c>
      <c r="P54" s="62">
        <f>P55/P43</f>
        <v>4.0000000000000008E-2</v>
      </c>
      <c r="Q54" s="69">
        <f>Budget!P35</f>
        <v>3.9999999999999994E-2</v>
      </c>
      <c r="R54" s="62">
        <f t="shared" si="17"/>
        <v>0</v>
      </c>
      <c r="S54" s="62">
        <f>R54</f>
        <v>0</v>
      </c>
    </row>
    <row r="55" spans="3:19">
      <c r="C55" s="1" t="s">
        <v>239</v>
      </c>
      <c r="D55" s="218">
        <f>SUMIFS(Data!$G$8:$G$151,Data!$D$8:$D$151,D$26,Data!$F$8:$F$151,"Distribution and Payment")</f>
        <v>9633.9599999999991</v>
      </c>
      <c r="E55" s="218">
        <f>SUMIFS(Data!$G$8:$G$151,Data!$D$8:$D$151,E$26,Data!$F$8:$F$151,"Distribution and Payment")</f>
        <v>9393.2800000000007</v>
      </c>
      <c r="F55" s="218">
        <f>SUMIFS(Data!$G$8:$G$151,Data!$D$8:$D$151,F$26,Data!$F$8:$F$151,"Distribution and Payment")</f>
        <v>11572.28</v>
      </c>
      <c r="G55" s="218">
        <f>SUMIFS(Data!$G$8:$G$151,Data!$D$8:$D$151,G$26,Data!$F$8:$F$151,"Distribution and Payment")</f>
        <v>12003.34</v>
      </c>
      <c r="H55" s="218">
        <f>SUMIFS(Data!$G$8:$G$151,Data!$D$8:$D$151,H$26,Data!$F$8:$F$151,"Distribution and Payment")</f>
        <v>13629.24</v>
      </c>
      <c r="I55" s="218">
        <f>SUMIFS(Data!$G$8:$G$151,Data!$D$8:$D$151,I$26,Data!$F$8:$F$151,"Distribution and Payment")</f>
        <v>15162.3</v>
      </c>
      <c r="J55" s="209">
        <f t="shared" ref="J55:O55" si="25">J43*J54</f>
        <v>17747.118400000003</v>
      </c>
      <c r="K55" s="209">
        <f t="shared" si="25"/>
        <v>17031.465199999999</v>
      </c>
      <c r="L55" s="209">
        <f t="shared" si="25"/>
        <v>13970.0308</v>
      </c>
      <c r="M55" s="209">
        <f t="shared" si="25"/>
        <v>13846.799200000001</v>
      </c>
      <c r="N55" s="209">
        <f t="shared" si="25"/>
        <v>10943.030400000001</v>
      </c>
      <c r="O55" s="209">
        <f t="shared" si="25"/>
        <v>11213.530900000002</v>
      </c>
      <c r="P55" s="209">
        <f>SUM(D55:O55)</f>
        <v>156146.37490000002</v>
      </c>
      <c r="Q55" s="218">
        <f>Budget!P36</f>
        <v>161796.86319999996</v>
      </c>
      <c r="R55" s="209">
        <f t="shared" si="17"/>
        <v>-5650.488299999939</v>
      </c>
      <c r="S55" s="55">
        <f>IF(Q55=0,"n.a.",R55/ABS(Q55))</f>
        <v>-3.4923348872439329E-2</v>
      </c>
    </row>
    <row r="56" spans="3:19"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11"/>
      <c r="R56" s="2"/>
      <c r="S56" s="55"/>
    </row>
    <row r="57" spans="3:19" ht="13.9">
      <c r="C57" s="175" t="s">
        <v>240</v>
      </c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219"/>
      <c r="R57" s="176"/>
      <c r="S57" s="210"/>
    </row>
    <row r="58" spans="3:19">
      <c r="C58" s="1" t="s">
        <v>189</v>
      </c>
      <c r="D58" s="59">
        <f>SUMIFS(Data!$G$200:$G$217,Data!$D$200:$D$217,D$26)</f>
        <v>5</v>
      </c>
      <c r="E58" s="59">
        <f>SUMIFS(Data!$G$200:$G$217,Data!$D$200:$D$217,E$26)</f>
        <v>5</v>
      </c>
      <c r="F58" s="59">
        <f>SUMIFS(Data!$G$200:$G$217,Data!$D$200:$D$217,F$26)</f>
        <v>5</v>
      </c>
      <c r="G58" s="59">
        <f>SUMIFS(Data!$G$200:$G$217,Data!$D$200:$D$217,G$26)</f>
        <v>5</v>
      </c>
      <c r="H58" s="59">
        <f>SUMIFS(Data!$G$200:$G$217,Data!$D$200:$D$217,H$26)</f>
        <v>5</v>
      </c>
      <c r="I58" s="59">
        <f>SUMIFS(Data!$G$200:$G$217,Data!$D$200:$D$217,I$26)</f>
        <v>5</v>
      </c>
      <c r="J58" s="59">
        <f>Assumptions!F50</f>
        <v>5</v>
      </c>
      <c r="K58" s="59">
        <f>Assumptions!G50</f>
        <v>5</v>
      </c>
      <c r="L58" s="59">
        <f>Assumptions!H50</f>
        <v>5</v>
      </c>
      <c r="M58" s="59">
        <f>Assumptions!I50</f>
        <v>5</v>
      </c>
      <c r="N58" s="59">
        <f>Assumptions!J50</f>
        <v>5</v>
      </c>
      <c r="O58" s="59">
        <f>Assumptions!K50</f>
        <v>5</v>
      </c>
      <c r="P58" s="60">
        <f>AVERAGE(D58:O58)</f>
        <v>5</v>
      </c>
      <c r="Q58" s="59">
        <f>Budget!P40</f>
        <v>5</v>
      </c>
      <c r="R58" s="60">
        <f t="shared" ref="R58:R63" si="26">P58-Q58</f>
        <v>0</v>
      </c>
      <c r="S58" s="55">
        <f t="shared" ref="S58:S63" si="27">IF(Q58=0,"n.a.",R58/ABS(Q58))</f>
        <v>0</v>
      </c>
    </row>
    <row r="59" spans="3:19">
      <c r="C59" s="199" t="s">
        <v>279</v>
      </c>
      <c r="D59" s="213">
        <f t="shared" ref="D59:I59" si="28">D60/D58</f>
        <v>5980</v>
      </c>
      <c r="E59" s="213">
        <f t="shared" si="28"/>
        <v>6005</v>
      </c>
      <c r="F59" s="213">
        <f t="shared" si="28"/>
        <v>6015</v>
      </c>
      <c r="G59" s="213">
        <f t="shared" si="28"/>
        <v>6040</v>
      </c>
      <c r="H59" s="213">
        <f t="shared" si="28"/>
        <v>6070</v>
      </c>
      <c r="I59" s="213">
        <f t="shared" si="28"/>
        <v>6050</v>
      </c>
      <c r="J59" s="221">
        <f>Assumptions!F51</f>
        <v>6120</v>
      </c>
      <c r="K59" s="221">
        <f>Assumptions!G51</f>
        <v>6120</v>
      </c>
      <c r="L59" s="221">
        <f>Assumptions!H51</f>
        <v>6120</v>
      </c>
      <c r="M59" s="221">
        <f>Assumptions!I51</f>
        <v>6120</v>
      </c>
      <c r="N59" s="221">
        <f>Assumptions!J51</f>
        <v>6120</v>
      </c>
      <c r="O59" s="221">
        <f>Assumptions!K51</f>
        <v>6120</v>
      </c>
      <c r="P59" s="213">
        <f>P60/SUM(D58:O58)</f>
        <v>6073.333333333333</v>
      </c>
      <c r="Q59" s="221">
        <f>Budget!P41</f>
        <v>6060</v>
      </c>
      <c r="R59" s="213">
        <f t="shared" si="26"/>
        <v>13.33333333333303</v>
      </c>
      <c r="S59" s="62">
        <f t="shared" si="27"/>
        <v>2.2002200220021502E-3</v>
      </c>
    </row>
    <row r="60" spans="3:19">
      <c r="C60" s="1" t="s">
        <v>280</v>
      </c>
      <c r="D60" s="218">
        <f>SUMIFS(Data!$H$200:$H$217,Data!$D$200:$D$217,D$26)</f>
        <v>29900</v>
      </c>
      <c r="E60" s="218">
        <f>SUMIFS(Data!$H$200:$H$217,Data!$D$200:$D$217,E$26)</f>
        <v>30025</v>
      </c>
      <c r="F60" s="218">
        <f>SUMIFS(Data!$H$200:$H$217,Data!$D$200:$D$217,F$26)</f>
        <v>30075</v>
      </c>
      <c r="G60" s="218">
        <f>SUMIFS(Data!$H$200:$H$217,Data!$D$200:$D$217,G$26)</f>
        <v>30200</v>
      </c>
      <c r="H60" s="218">
        <f>SUMIFS(Data!$H$200:$H$217,Data!$D$200:$D$217,H$26)</f>
        <v>30350</v>
      </c>
      <c r="I60" s="218">
        <f>SUMIFS(Data!$H$200:$H$217,Data!$D$200:$D$217,I$26)</f>
        <v>30250</v>
      </c>
      <c r="J60" s="209">
        <f t="shared" ref="J60:O60" si="29">J58*J59</f>
        <v>30600</v>
      </c>
      <c r="K60" s="209">
        <f t="shared" si="29"/>
        <v>30600</v>
      </c>
      <c r="L60" s="209">
        <f t="shared" si="29"/>
        <v>30600</v>
      </c>
      <c r="M60" s="209">
        <f t="shared" si="29"/>
        <v>30600</v>
      </c>
      <c r="N60" s="209">
        <f t="shared" si="29"/>
        <v>30600</v>
      </c>
      <c r="O60" s="209">
        <f t="shared" si="29"/>
        <v>30600</v>
      </c>
      <c r="P60" s="209">
        <f>SUM(D60:O60)</f>
        <v>364400</v>
      </c>
      <c r="Q60" s="218">
        <f>Budget!P42</f>
        <v>363600</v>
      </c>
      <c r="R60" s="209">
        <f t="shared" si="26"/>
        <v>800</v>
      </c>
      <c r="S60" s="55">
        <f t="shared" si="27"/>
        <v>2.2002200220022001E-3</v>
      </c>
    </row>
    <row r="61" spans="3:19">
      <c r="C61" s="1" t="s">
        <v>67</v>
      </c>
      <c r="D61" s="218">
        <f>SUMIFS(Data!$G$8:$G$151,Data!$D$8:$D$151,D$26,Data!$F$8:$F$151,"Rent")</f>
        <v>78000</v>
      </c>
      <c r="E61" s="218">
        <f>SUMIFS(Data!$G$8:$G$151,Data!$D$8:$D$151,E$26,Data!$F$8:$F$151,"Rent")</f>
        <v>78000</v>
      </c>
      <c r="F61" s="218">
        <f>SUMIFS(Data!$G$8:$G$151,Data!$D$8:$D$151,F$26,Data!$F$8:$F$151,"Rent")</f>
        <v>78000</v>
      </c>
      <c r="G61" s="218">
        <f>SUMIFS(Data!$G$8:$G$151,Data!$D$8:$D$151,G$26,Data!$F$8:$F$151,"Rent")</f>
        <v>78000</v>
      </c>
      <c r="H61" s="218">
        <f>SUMIFS(Data!$G$8:$G$151,Data!$D$8:$D$151,H$26,Data!$F$8:$F$151,"Rent")</f>
        <v>78000</v>
      </c>
      <c r="I61" s="218">
        <f>SUMIFS(Data!$G$8:$G$151,Data!$D$8:$D$151,I$26,Data!$F$8:$F$151,"Rent")</f>
        <v>78000</v>
      </c>
      <c r="J61" s="218">
        <f>Assumptions!F52</f>
        <v>78000</v>
      </c>
      <c r="K61" s="218">
        <f>Assumptions!G52</f>
        <v>78000</v>
      </c>
      <c r="L61" s="218">
        <f>Assumptions!H52</f>
        <v>78000</v>
      </c>
      <c r="M61" s="218">
        <f>Assumptions!I52</f>
        <v>78000</v>
      </c>
      <c r="N61" s="218">
        <f>Assumptions!J52</f>
        <v>78000</v>
      </c>
      <c r="O61" s="218">
        <f>Assumptions!K52</f>
        <v>78000</v>
      </c>
      <c r="P61" s="209">
        <f>SUM(D61:O61)</f>
        <v>936000</v>
      </c>
      <c r="Q61" s="218">
        <f>Budget!P43</f>
        <v>936000</v>
      </c>
      <c r="R61" s="209">
        <f t="shared" si="26"/>
        <v>0</v>
      </c>
      <c r="S61" s="55">
        <f t="shared" si="27"/>
        <v>0</v>
      </c>
    </row>
    <row r="62" spans="3:19">
      <c r="C62" s="1" t="s">
        <v>191</v>
      </c>
      <c r="D62" s="218">
        <f>SUMIFS(Data!$G$8:$G$151,Data!$D$8:$D$151,D$26,Data!$F$8:$F$151,"Property Overhead")</f>
        <v>28050</v>
      </c>
      <c r="E62" s="218">
        <f>SUMIFS(Data!$G$8:$G$151,Data!$D$8:$D$151,E$26,Data!$F$8:$F$151,"Property Overhead")</f>
        <v>27920</v>
      </c>
      <c r="F62" s="218">
        <f>SUMIFS(Data!$G$8:$G$151,Data!$D$8:$D$151,F$26,Data!$F$8:$F$151,"Property Overhead")</f>
        <v>28620</v>
      </c>
      <c r="G62" s="218">
        <f>SUMIFS(Data!$G$8:$G$151,Data!$D$8:$D$151,G$26,Data!$F$8:$F$151,"Property Overhead")</f>
        <v>28710</v>
      </c>
      <c r="H62" s="218">
        <f>SUMIFS(Data!$G$8:$G$151,Data!$D$8:$D$151,H$26,Data!$F$8:$F$151,"Property Overhead")</f>
        <v>30350</v>
      </c>
      <c r="I62" s="218">
        <f>SUMIFS(Data!$G$8:$G$151,Data!$D$8:$D$151,I$26,Data!$F$8:$F$151,"Property Overhead")</f>
        <v>29410</v>
      </c>
      <c r="J62" s="218">
        <f>Assumptions!F53</f>
        <v>29800</v>
      </c>
      <c r="K62" s="218">
        <f>Assumptions!G53</f>
        <v>30000</v>
      </c>
      <c r="L62" s="218">
        <f>Assumptions!H53</f>
        <v>29400</v>
      </c>
      <c r="M62" s="218">
        <f>Assumptions!I53</f>
        <v>29100</v>
      </c>
      <c r="N62" s="218">
        <f>Assumptions!J53</f>
        <v>28700</v>
      </c>
      <c r="O62" s="218">
        <f>Assumptions!K53</f>
        <v>29000</v>
      </c>
      <c r="P62" s="209">
        <f>SUM(D62:O62)</f>
        <v>349060</v>
      </c>
      <c r="Q62" s="218">
        <f>Budget!P44</f>
        <v>347300</v>
      </c>
      <c r="R62" s="209">
        <f t="shared" si="26"/>
        <v>1760</v>
      </c>
      <c r="S62" s="55">
        <f t="shared" si="27"/>
        <v>5.0676648430751509E-3</v>
      </c>
    </row>
    <row r="63" spans="3:19">
      <c r="C63" s="1" t="s">
        <v>71</v>
      </c>
      <c r="D63" s="218">
        <f>SUMIFS(Data!$G$8:$G$151,Data!$D$8:$D$151,D$26,Data!$F$8:$F$151,"Marketing")</f>
        <v>10200</v>
      </c>
      <c r="E63" s="218">
        <f>SUMIFS(Data!$G$8:$G$151,Data!$D$8:$D$151,E$26,Data!$F$8:$F$151,"Marketing")</f>
        <v>8800</v>
      </c>
      <c r="F63" s="218">
        <f>SUMIFS(Data!$G$8:$G$151,Data!$D$8:$D$151,F$26,Data!$F$8:$F$151,"Marketing")</f>
        <v>11300</v>
      </c>
      <c r="G63" s="218">
        <f>SUMIFS(Data!$G$8:$G$151,Data!$D$8:$D$151,G$26,Data!$F$8:$F$151,"Marketing")</f>
        <v>13100</v>
      </c>
      <c r="H63" s="218">
        <f>SUMIFS(Data!$G$8:$G$151,Data!$D$8:$D$151,H$26,Data!$F$8:$F$151,"Marketing")</f>
        <v>14200</v>
      </c>
      <c r="I63" s="218">
        <f>SUMIFS(Data!$G$8:$G$151,Data!$D$8:$D$151,I$26,Data!$F$8:$F$151,"Marketing")</f>
        <v>6000</v>
      </c>
      <c r="J63" s="218">
        <f>Assumptions!F54</f>
        <v>18000</v>
      </c>
      <c r="K63" s="218">
        <f>Assumptions!G54</f>
        <v>15000</v>
      </c>
      <c r="L63" s="218">
        <f>Assumptions!H54</f>
        <v>30000</v>
      </c>
      <c r="M63" s="218">
        <f>Assumptions!I54</f>
        <v>13000</v>
      </c>
      <c r="N63" s="218">
        <f>Assumptions!J54</f>
        <v>12000</v>
      </c>
      <c r="O63" s="218">
        <f>Assumptions!K54</f>
        <v>16000</v>
      </c>
      <c r="P63" s="209">
        <f>SUM(D63:O63)</f>
        <v>167600</v>
      </c>
      <c r="Q63" s="218">
        <f>Budget!P45</f>
        <v>167000</v>
      </c>
      <c r="R63" s="209">
        <f t="shared" si="26"/>
        <v>600</v>
      </c>
      <c r="S63" s="55">
        <f t="shared" si="27"/>
        <v>3.592814371257485E-3</v>
      </c>
    </row>
    <row r="64" spans="3:19"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11"/>
      <c r="R64" s="2"/>
      <c r="S64" s="55"/>
    </row>
    <row r="65" spans="3:19" ht="13.9">
      <c r="C65" s="175" t="s">
        <v>244</v>
      </c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219"/>
      <c r="R65" s="176"/>
      <c r="S65" s="210"/>
    </row>
    <row r="66" spans="3:19" ht="13.9">
      <c r="C66" s="201" t="s">
        <v>245</v>
      </c>
      <c r="D66" s="214">
        <f t="shared" ref="D66:O66" si="30">SUM(D51,D53,D55,D60:D63)</f>
        <v>207319.57</v>
      </c>
      <c r="E66" s="214">
        <f t="shared" si="30"/>
        <v>203220.68</v>
      </c>
      <c r="F66" s="214">
        <f t="shared" si="30"/>
        <v>220064.15</v>
      </c>
      <c r="G66" s="214">
        <f t="shared" si="30"/>
        <v>227952.59</v>
      </c>
      <c r="H66" s="214">
        <f t="shared" si="30"/>
        <v>238720.49</v>
      </c>
      <c r="I66" s="214">
        <f t="shared" si="30"/>
        <v>233839.1</v>
      </c>
      <c r="J66" s="214">
        <f t="shared" si="30"/>
        <v>257820.81840000002</v>
      </c>
      <c r="K66" s="214">
        <f t="shared" si="30"/>
        <v>251725.97020000001</v>
      </c>
      <c r="L66" s="214">
        <f t="shared" si="30"/>
        <v>250904.91580000002</v>
      </c>
      <c r="M66" s="214">
        <f t="shared" si="30"/>
        <v>233537.9792</v>
      </c>
      <c r="N66" s="214">
        <f t="shared" si="30"/>
        <v>217841.9804</v>
      </c>
      <c r="O66" s="214">
        <f t="shared" si="30"/>
        <v>223163.9509</v>
      </c>
      <c r="P66" s="214">
        <f>SUM(D66:O66)</f>
        <v>2766112.1949</v>
      </c>
      <c r="Q66" s="222">
        <f>Budget!P49</f>
        <v>2765126.1656999998</v>
      </c>
      <c r="R66" s="214">
        <f>P66-Q66</f>
        <v>986.02920000022277</v>
      </c>
      <c r="S66" s="215">
        <f>IF(Q66=0,"n.a.",R66/ABS(Q66))</f>
        <v>3.5659465098967976E-4</v>
      </c>
    </row>
    <row r="67" spans="3:19" ht="13.9">
      <c r="C67" s="202" t="s">
        <v>246</v>
      </c>
      <c r="D67" s="216">
        <f t="shared" ref="D67:O67" si="31">D43-D66</f>
        <v>33529.429999999993</v>
      </c>
      <c r="E67" s="216">
        <f t="shared" si="31"/>
        <v>31611.320000000007</v>
      </c>
      <c r="F67" s="216">
        <f t="shared" si="31"/>
        <v>69242.850000000006</v>
      </c>
      <c r="G67" s="216">
        <f t="shared" si="31"/>
        <v>72130.91</v>
      </c>
      <c r="H67" s="216">
        <f t="shared" si="31"/>
        <v>102010.51000000001</v>
      </c>
      <c r="I67" s="216">
        <f t="shared" si="31"/>
        <v>145218.4</v>
      </c>
      <c r="J67" s="216">
        <f t="shared" si="31"/>
        <v>185857.1416</v>
      </c>
      <c r="K67" s="216">
        <f t="shared" si="31"/>
        <v>174060.65979999999</v>
      </c>
      <c r="L67" s="216">
        <f t="shared" si="31"/>
        <v>98345.854200000002</v>
      </c>
      <c r="M67" s="216">
        <f t="shared" si="31"/>
        <v>112632.00080000004</v>
      </c>
      <c r="N67" s="216">
        <f t="shared" si="31"/>
        <v>55733.779600000009</v>
      </c>
      <c r="O67" s="216">
        <f t="shared" si="31"/>
        <v>57174.321600000025</v>
      </c>
      <c r="P67" s="216">
        <f>SUM(D67:O67)</f>
        <v>1137547.1776000001</v>
      </c>
      <c r="Q67" s="223">
        <f>Budget!P50</f>
        <v>1279795.4142999998</v>
      </c>
      <c r="R67" s="216">
        <f>P67-Q67</f>
        <v>-142248.23669999978</v>
      </c>
      <c r="S67" s="217">
        <f>IF(Q67=0,"n.a.",R67/ABS(Q67))</f>
        <v>-0.11114920018509696</v>
      </c>
    </row>
    <row r="68" spans="3:19">
      <c r="C68" s="199" t="s">
        <v>247</v>
      </c>
      <c r="D68" s="62">
        <f t="shared" ref="D68:P68" si="32">D67/D43</f>
        <v>0.13921349061029936</v>
      </c>
      <c r="E68" s="62">
        <f t="shared" si="32"/>
        <v>0.13461248892825511</v>
      </c>
      <c r="F68" s="62">
        <f t="shared" si="32"/>
        <v>0.23934038927506077</v>
      </c>
      <c r="G68" s="62">
        <f t="shared" si="32"/>
        <v>0.2403694638325666</v>
      </c>
      <c r="H68" s="62">
        <f t="shared" si="32"/>
        <v>0.29938722922187888</v>
      </c>
      <c r="I68" s="62">
        <f t="shared" si="32"/>
        <v>0.38310388265632522</v>
      </c>
      <c r="J68" s="62">
        <f t="shared" si="32"/>
        <v>0.41890100107744815</v>
      </c>
      <c r="K68" s="62">
        <f t="shared" si="32"/>
        <v>0.4087978521072867</v>
      </c>
      <c r="L68" s="62">
        <f t="shared" si="32"/>
        <v>0.28159094452390182</v>
      </c>
      <c r="M68" s="62">
        <f t="shared" si="32"/>
        <v>0.32536617068874668</v>
      </c>
      <c r="N68" s="62">
        <f t="shared" si="32"/>
        <v>0.20372338397232273</v>
      </c>
      <c r="O68" s="62">
        <f t="shared" si="32"/>
        <v>0.20394761332489847</v>
      </c>
      <c r="P68" s="62">
        <f t="shared" si="32"/>
        <v>0.29140533767204357</v>
      </c>
      <c r="Q68" s="69">
        <f>Budget!P51</f>
        <v>0.31639560594398469</v>
      </c>
      <c r="R68" s="62">
        <f>P68-Q68</f>
        <v>-2.4990268271941118E-2</v>
      </c>
      <c r="S68" s="62">
        <f>R68</f>
        <v>-2.4990268271941118E-2</v>
      </c>
    </row>
    <row r="69" spans="3:19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3:19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3:19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3:19" collapsed="1">
      <c r="C72" s="198" t="s">
        <v>281</v>
      </c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</row>
    <row r="73" spans="3:19" hidden="1" outlineLevel="1">
      <c r="C73" s="1" t="s">
        <v>272</v>
      </c>
      <c r="D73" s="203" t="s">
        <v>273</v>
      </c>
      <c r="E73" s="203" t="s">
        <v>273</v>
      </c>
      <c r="F73" s="203" t="s">
        <v>273</v>
      </c>
      <c r="G73" s="203" t="s">
        <v>273</v>
      </c>
      <c r="H73" s="203" t="s">
        <v>273</v>
      </c>
      <c r="I73" s="203" t="s">
        <v>273</v>
      </c>
      <c r="J73" s="204" t="s">
        <v>274</v>
      </c>
      <c r="K73" s="204" t="s">
        <v>274</v>
      </c>
      <c r="L73" s="204" t="s">
        <v>274</v>
      </c>
      <c r="M73" s="204" t="s">
        <v>274</v>
      </c>
      <c r="N73" s="204" t="s">
        <v>274</v>
      </c>
      <c r="O73" s="204" t="s">
        <v>274</v>
      </c>
      <c r="P73" s="153" t="s">
        <v>219</v>
      </c>
      <c r="Q73" s="153" t="s">
        <v>257</v>
      </c>
      <c r="R73" s="153" t="s">
        <v>19</v>
      </c>
      <c r="S73" s="153" t="s">
        <v>275</v>
      </c>
    </row>
    <row r="74" spans="3:19" hidden="1" outlineLevel="1">
      <c r="C74" s="1" t="s">
        <v>276</v>
      </c>
      <c r="D74" s="205">
        <v>46023</v>
      </c>
      <c r="E74" s="205">
        <v>46054</v>
      </c>
      <c r="F74" s="205">
        <v>46082</v>
      </c>
      <c r="G74" s="205">
        <v>46113</v>
      </c>
      <c r="H74" s="205">
        <v>46143</v>
      </c>
      <c r="I74" s="205">
        <v>46174</v>
      </c>
      <c r="J74" s="206">
        <v>46204</v>
      </c>
      <c r="K74" s="206">
        <v>46235</v>
      </c>
      <c r="L74" s="206">
        <v>46266</v>
      </c>
      <c r="M74" s="206">
        <v>46296</v>
      </c>
      <c r="N74" s="206">
        <v>46327</v>
      </c>
      <c r="O74" s="206">
        <v>46357</v>
      </c>
      <c r="P74" s="153" t="s">
        <v>219</v>
      </c>
      <c r="Q74" s="153" t="s">
        <v>257</v>
      </c>
      <c r="R74" s="153" t="s">
        <v>19</v>
      </c>
      <c r="S74" s="153" t="s">
        <v>275</v>
      </c>
    </row>
    <row r="75" spans="3:19" hidden="1" outlineLevel="1">
      <c r="C75" s="1" t="s">
        <v>277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3:19" ht="13.9" hidden="1" outlineLevel="1">
      <c r="C76" s="175" t="s">
        <v>221</v>
      </c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</row>
    <row r="77" spans="3:19" hidden="1" outlineLevel="1">
      <c r="C77" s="1" t="s">
        <v>172</v>
      </c>
      <c r="D77" s="207">
        <f t="shared" ref="D77:I86" si="33">D29</f>
        <v>100</v>
      </c>
      <c r="E77" s="207">
        <f t="shared" si="33"/>
        <v>100</v>
      </c>
      <c r="F77" s="207">
        <f t="shared" si="33"/>
        <v>100</v>
      </c>
      <c r="G77" s="207">
        <f t="shared" si="33"/>
        <v>100</v>
      </c>
      <c r="H77" s="207">
        <f t="shared" si="33"/>
        <v>100</v>
      </c>
      <c r="I77" s="207">
        <f t="shared" si="33"/>
        <v>100</v>
      </c>
      <c r="J77" s="104">
        <f>Assumptions!F41</f>
        <v>100</v>
      </c>
      <c r="K77" s="104">
        <f>Assumptions!G41</f>
        <v>100</v>
      </c>
      <c r="L77" s="104">
        <f>Assumptions!H41</f>
        <v>100</v>
      </c>
      <c r="M77" s="104">
        <f>Assumptions!I41</f>
        <v>100</v>
      </c>
      <c r="N77" s="104">
        <f>Assumptions!J41</f>
        <v>100</v>
      </c>
      <c r="O77" s="104">
        <f>Assumptions!K41</f>
        <v>100</v>
      </c>
      <c r="P77" s="207">
        <f>AVERAGE(D77:O77)</f>
        <v>100</v>
      </c>
      <c r="Q77" s="104">
        <f>Budget!P8</f>
        <v>100</v>
      </c>
      <c r="R77" s="207">
        <f t="shared" ref="R77:R86" si="34">P77-Q77</f>
        <v>0</v>
      </c>
      <c r="S77" s="55">
        <f>IF(Q77=0,"n.a.",R77/ABS(Q77))</f>
        <v>0</v>
      </c>
    </row>
    <row r="78" spans="3:19" hidden="1" outlineLevel="1">
      <c r="C78" s="1" t="s">
        <v>222</v>
      </c>
      <c r="D78" s="207">
        <f t="shared" si="33"/>
        <v>31</v>
      </c>
      <c r="E78" s="207">
        <f t="shared" si="33"/>
        <v>28</v>
      </c>
      <c r="F78" s="207">
        <f t="shared" si="33"/>
        <v>31</v>
      </c>
      <c r="G78" s="207">
        <f t="shared" si="33"/>
        <v>30</v>
      </c>
      <c r="H78" s="207">
        <f t="shared" si="33"/>
        <v>31</v>
      </c>
      <c r="I78" s="207">
        <f t="shared" si="33"/>
        <v>30</v>
      </c>
      <c r="J78" s="207">
        <f t="shared" ref="J78:O78" si="35">DATE(YEAR(J$74),MONTH(J$74)+1,1)-J$74</f>
        <v>31</v>
      </c>
      <c r="K78" s="207">
        <f t="shared" si="35"/>
        <v>31</v>
      </c>
      <c r="L78" s="207">
        <f t="shared" si="35"/>
        <v>30</v>
      </c>
      <c r="M78" s="207">
        <f t="shared" si="35"/>
        <v>31</v>
      </c>
      <c r="N78" s="207">
        <f t="shared" si="35"/>
        <v>30</v>
      </c>
      <c r="O78" s="207">
        <f t="shared" si="35"/>
        <v>31</v>
      </c>
      <c r="P78" s="207">
        <f>SUM(D78:O78)</f>
        <v>365</v>
      </c>
      <c r="Q78" s="104">
        <f>Budget!P9</f>
        <v>365</v>
      </c>
      <c r="R78" s="207">
        <f t="shared" si="34"/>
        <v>0</v>
      </c>
      <c r="S78" s="55">
        <f>IF(Q78=0,"n.a.",R78/ABS(Q78))</f>
        <v>0</v>
      </c>
    </row>
    <row r="79" spans="3:19" hidden="1" outlineLevel="1">
      <c r="C79" s="1" t="s">
        <v>223</v>
      </c>
      <c r="D79" s="207">
        <f t="shared" si="33"/>
        <v>3100</v>
      </c>
      <c r="E79" s="207">
        <f t="shared" si="33"/>
        <v>2800</v>
      </c>
      <c r="F79" s="207">
        <f t="shared" si="33"/>
        <v>3100</v>
      </c>
      <c r="G79" s="207">
        <f t="shared" si="33"/>
        <v>3000</v>
      </c>
      <c r="H79" s="207">
        <f t="shared" si="33"/>
        <v>3100</v>
      </c>
      <c r="I79" s="207">
        <f t="shared" si="33"/>
        <v>3000</v>
      </c>
      <c r="J79" s="207">
        <f t="shared" ref="J79:O79" si="36">J77*J78</f>
        <v>3100</v>
      </c>
      <c r="K79" s="207">
        <f t="shared" si="36"/>
        <v>3100</v>
      </c>
      <c r="L79" s="207">
        <f t="shared" si="36"/>
        <v>3000</v>
      </c>
      <c r="M79" s="207">
        <f t="shared" si="36"/>
        <v>3100</v>
      </c>
      <c r="N79" s="207">
        <f t="shared" si="36"/>
        <v>3000</v>
      </c>
      <c r="O79" s="207">
        <f t="shared" si="36"/>
        <v>3100</v>
      </c>
      <c r="P79" s="207">
        <f>SUM(D79:O79)</f>
        <v>36500</v>
      </c>
      <c r="Q79" s="104">
        <f>Budget!P10</f>
        <v>36500</v>
      </c>
      <c r="R79" s="207">
        <f t="shared" si="34"/>
        <v>0</v>
      </c>
      <c r="S79" s="55">
        <f>IF(Q79=0,"n.a.",R79/ABS(Q79))</f>
        <v>0</v>
      </c>
    </row>
    <row r="80" spans="3:19" hidden="1" outlineLevel="1">
      <c r="C80" s="1" t="s">
        <v>175</v>
      </c>
      <c r="D80" s="207">
        <f t="shared" si="33"/>
        <v>1658</v>
      </c>
      <c r="E80" s="207">
        <f t="shared" si="33"/>
        <v>1604</v>
      </c>
      <c r="F80" s="207">
        <f t="shared" si="33"/>
        <v>1922</v>
      </c>
      <c r="G80" s="207">
        <f t="shared" si="33"/>
        <v>1950</v>
      </c>
      <c r="H80" s="207">
        <f t="shared" si="33"/>
        <v>2139</v>
      </c>
      <c r="I80" s="207">
        <f t="shared" si="33"/>
        <v>2265</v>
      </c>
      <c r="J80" s="104">
        <f>Assumptions!F69</f>
        <v>2629</v>
      </c>
      <c r="K80" s="104">
        <f>Assumptions!G69</f>
        <v>2566</v>
      </c>
      <c r="L80" s="104">
        <f>Assumptions!H69</f>
        <v>2200</v>
      </c>
      <c r="M80" s="104">
        <f>Assumptions!I69</f>
        <v>2222</v>
      </c>
      <c r="N80" s="104">
        <f>Assumptions!J69</f>
        <v>1848</v>
      </c>
      <c r="O80" s="104">
        <f>Assumptions!K69</f>
        <v>1847</v>
      </c>
      <c r="P80" s="207">
        <f>SUM(D80:O80)</f>
        <v>24850</v>
      </c>
      <c r="Q80" s="104">
        <f>Budget!P11</f>
        <v>25274</v>
      </c>
      <c r="R80" s="207">
        <f t="shared" si="34"/>
        <v>-424</v>
      </c>
      <c r="S80" s="55">
        <f>IF(Q80=0,"n.a.",R80/ABS(Q80))</f>
        <v>-1.6776133576006963E-2</v>
      </c>
    </row>
    <row r="81" spans="3:19" hidden="1" outlineLevel="1">
      <c r="C81" s="199" t="s">
        <v>225</v>
      </c>
      <c r="D81" s="62">
        <f t="shared" si="33"/>
        <v>0.53483870967741931</v>
      </c>
      <c r="E81" s="62">
        <f t="shared" si="33"/>
        <v>0.57285714285714284</v>
      </c>
      <c r="F81" s="62">
        <f t="shared" si="33"/>
        <v>0.62</v>
      </c>
      <c r="G81" s="62">
        <f t="shared" si="33"/>
        <v>0.65</v>
      </c>
      <c r="H81" s="62">
        <f t="shared" si="33"/>
        <v>0.69</v>
      </c>
      <c r="I81" s="62">
        <f t="shared" si="33"/>
        <v>0.755</v>
      </c>
      <c r="J81" s="62">
        <f t="shared" ref="J81:P81" si="37">J80/J79</f>
        <v>0.84806451612903222</v>
      </c>
      <c r="K81" s="62">
        <f t="shared" si="37"/>
        <v>0.82774193548387098</v>
      </c>
      <c r="L81" s="62">
        <f t="shared" si="37"/>
        <v>0.73333333333333328</v>
      </c>
      <c r="M81" s="62">
        <f t="shared" si="37"/>
        <v>0.71677419354838712</v>
      </c>
      <c r="N81" s="62">
        <f t="shared" si="37"/>
        <v>0.61599999999999999</v>
      </c>
      <c r="O81" s="62">
        <f t="shared" si="37"/>
        <v>0.59580645161290324</v>
      </c>
      <c r="P81" s="62">
        <f t="shared" si="37"/>
        <v>0.68082191780821921</v>
      </c>
      <c r="Q81" s="69">
        <f>Budget!P12</f>
        <v>0.69243835616438354</v>
      </c>
      <c r="R81" s="62">
        <f t="shared" si="34"/>
        <v>-1.1616438356164327E-2</v>
      </c>
      <c r="S81" s="62">
        <f>R81</f>
        <v>-1.1616438356164327E-2</v>
      </c>
    </row>
    <row r="82" spans="3:19" hidden="1" outlineLevel="1">
      <c r="C82" s="199" t="s">
        <v>178</v>
      </c>
      <c r="D82" s="62">
        <f t="shared" si="33"/>
        <v>0.3100120627261761</v>
      </c>
      <c r="E82" s="62">
        <f t="shared" si="33"/>
        <v>0.32980049875311723</v>
      </c>
      <c r="F82" s="62">
        <f t="shared" si="33"/>
        <v>0.37981269510926119</v>
      </c>
      <c r="G82" s="62">
        <f t="shared" si="33"/>
        <v>0.43025641025641026</v>
      </c>
      <c r="H82" s="62">
        <f t="shared" si="33"/>
        <v>0.45021037868162694</v>
      </c>
      <c r="I82" s="62">
        <f t="shared" si="33"/>
        <v>0.41986754966887418</v>
      </c>
      <c r="J82" s="69">
        <f>Assumptions!F70</f>
        <v>0.41499999999999998</v>
      </c>
      <c r="K82" s="69">
        <f>Assumptions!G70</f>
        <v>0.42499999999999999</v>
      </c>
      <c r="L82" s="69">
        <f>Assumptions!H70</f>
        <v>0.435</v>
      </c>
      <c r="M82" s="69">
        <f>Assumptions!I70</f>
        <v>0.41</v>
      </c>
      <c r="N82" s="69">
        <f>Assumptions!J70</f>
        <v>0.36499999999999999</v>
      </c>
      <c r="O82" s="69">
        <f>Assumptions!K70</f>
        <v>0.34</v>
      </c>
      <c r="P82" s="62">
        <f>P84/P80</f>
        <v>0.39750925553319916</v>
      </c>
      <c r="Q82" s="69">
        <f>Budget!P13</f>
        <v>0.35292395346996919</v>
      </c>
      <c r="R82" s="62">
        <f t="shared" si="34"/>
        <v>4.458530206322997E-2</v>
      </c>
      <c r="S82" s="62">
        <f>R82</f>
        <v>4.458530206322997E-2</v>
      </c>
    </row>
    <row r="83" spans="3:19" hidden="1" outlineLevel="1">
      <c r="C83" s="1" t="s">
        <v>226</v>
      </c>
      <c r="D83" s="208">
        <f t="shared" si="33"/>
        <v>1144</v>
      </c>
      <c r="E83" s="208">
        <f t="shared" si="33"/>
        <v>1075</v>
      </c>
      <c r="F83" s="208">
        <f t="shared" si="33"/>
        <v>1192</v>
      </c>
      <c r="G83" s="208">
        <f t="shared" si="33"/>
        <v>1111</v>
      </c>
      <c r="H83" s="208">
        <f t="shared" si="33"/>
        <v>1176</v>
      </c>
      <c r="I83" s="208">
        <f t="shared" si="33"/>
        <v>1314</v>
      </c>
      <c r="J83" s="208">
        <f t="shared" ref="J83:O83" si="38">J80-J84</f>
        <v>1537.9650000000001</v>
      </c>
      <c r="K83" s="208">
        <f t="shared" si="38"/>
        <v>1475.45</v>
      </c>
      <c r="L83" s="208">
        <f t="shared" si="38"/>
        <v>1243</v>
      </c>
      <c r="M83" s="208">
        <f t="shared" si="38"/>
        <v>1310.98</v>
      </c>
      <c r="N83" s="208">
        <f t="shared" si="38"/>
        <v>1173.48</v>
      </c>
      <c r="O83" s="208">
        <f t="shared" si="38"/>
        <v>1219.02</v>
      </c>
      <c r="P83" s="208">
        <f>SUM(D83:O83)</f>
        <v>14971.895</v>
      </c>
      <c r="Q83" s="105">
        <f>Budget!P14</f>
        <v>16354.199999999999</v>
      </c>
      <c r="R83" s="208">
        <f t="shared" si="34"/>
        <v>-1382.3049999999985</v>
      </c>
      <c r="S83" s="55">
        <f>IF(Q83=0,"n.a.",R83/ABS(Q83))</f>
        <v>-8.4522936004206781E-2</v>
      </c>
    </row>
    <row r="84" spans="3:19" hidden="1" outlineLevel="1">
      <c r="C84" s="1" t="s">
        <v>227</v>
      </c>
      <c r="D84" s="208">
        <f t="shared" si="33"/>
        <v>514</v>
      </c>
      <c r="E84" s="208">
        <f t="shared" si="33"/>
        <v>529</v>
      </c>
      <c r="F84" s="208">
        <f t="shared" si="33"/>
        <v>730</v>
      </c>
      <c r="G84" s="208">
        <f t="shared" si="33"/>
        <v>839</v>
      </c>
      <c r="H84" s="208">
        <f t="shared" si="33"/>
        <v>963</v>
      </c>
      <c r="I84" s="208">
        <f t="shared" si="33"/>
        <v>951</v>
      </c>
      <c r="J84" s="208">
        <f t="shared" ref="J84:O84" si="39">J80*J82</f>
        <v>1091.0349999999999</v>
      </c>
      <c r="K84" s="208">
        <f t="shared" si="39"/>
        <v>1090.55</v>
      </c>
      <c r="L84" s="208">
        <f t="shared" si="39"/>
        <v>957</v>
      </c>
      <c r="M84" s="208">
        <f t="shared" si="39"/>
        <v>911.02</v>
      </c>
      <c r="N84" s="208">
        <f t="shared" si="39"/>
        <v>674.52</v>
      </c>
      <c r="O84" s="208">
        <f t="shared" si="39"/>
        <v>627.98</v>
      </c>
      <c r="P84" s="208">
        <f>SUM(D84:O84)</f>
        <v>9878.1049999999996</v>
      </c>
      <c r="Q84" s="105">
        <f>Budget!P15</f>
        <v>8919.8000000000011</v>
      </c>
      <c r="R84" s="208">
        <f t="shared" si="34"/>
        <v>958.30499999999847</v>
      </c>
      <c r="S84" s="55">
        <f>IF(Q84=0,"n.a.",R84/ABS(Q84))</f>
        <v>0.10743570483643113</v>
      </c>
    </row>
    <row r="85" spans="3:19" hidden="1" outlineLevel="1">
      <c r="C85" s="1" t="s">
        <v>180</v>
      </c>
      <c r="D85" s="209">
        <f t="shared" si="33"/>
        <v>151</v>
      </c>
      <c r="E85" s="209">
        <f t="shared" si="33"/>
        <v>153</v>
      </c>
      <c r="F85" s="209">
        <f t="shared" si="33"/>
        <v>158.5</v>
      </c>
      <c r="G85" s="209">
        <f t="shared" si="33"/>
        <v>164</v>
      </c>
      <c r="H85" s="209">
        <f t="shared" si="33"/>
        <v>171</v>
      </c>
      <c r="I85" s="209">
        <f t="shared" si="33"/>
        <v>181</v>
      </c>
      <c r="J85" s="218">
        <f>Assumptions!F71</f>
        <v>189.88</v>
      </c>
      <c r="K85" s="218">
        <f>Assumptions!G71</f>
        <v>186.85</v>
      </c>
      <c r="L85" s="218">
        <f>Assumptions!H71</f>
        <v>176.75</v>
      </c>
      <c r="M85" s="218">
        <f>Assumptions!I71</f>
        <v>171.7</v>
      </c>
      <c r="N85" s="218">
        <f>Assumptions!J71</f>
        <v>159.58000000000001</v>
      </c>
      <c r="O85" s="218">
        <f>Assumptions!K71</f>
        <v>163.62</v>
      </c>
      <c r="P85" s="209">
        <f>P89/P83</f>
        <v>170.08649429481034</v>
      </c>
      <c r="Q85" s="218">
        <f>Budget!P16</f>
        <v>168.99758471829867</v>
      </c>
      <c r="R85" s="209">
        <f t="shared" si="34"/>
        <v>1.0889095765116679</v>
      </c>
      <c r="S85" s="55">
        <f>IF(Q85=0,"n.a.",R85/ABS(Q85))</f>
        <v>6.4433440177666824E-3</v>
      </c>
    </row>
    <row r="86" spans="3:19" hidden="1" outlineLevel="1">
      <c r="C86" s="1" t="s">
        <v>181</v>
      </c>
      <c r="D86" s="209">
        <f t="shared" si="33"/>
        <v>132.5</v>
      </c>
      <c r="E86" s="209">
        <f t="shared" si="33"/>
        <v>133</v>
      </c>
      <c r="F86" s="209">
        <f t="shared" si="33"/>
        <v>137.5</v>
      </c>
      <c r="G86" s="209">
        <f t="shared" si="33"/>
        <v>140.5</v>
      </c>
      <c r="H86" s="209">
        <f t="shared" si="33"/>
        <v>145</v>
      </c>
      <c r="I86" s="209">
        <f t="shared" si="33"/>
        <v>148.5</v>
      </c>
      <c r="J86" s="218">
        <f>Assumptions!F72</f>
        <v>154.27000000000001</v>
      </c>
      <c r="K86" s="218">
        <f>Assumptions!G72</f>
        <v>152.26</v>
      </c>
      <c r="L86" s="218">
        <f>Assumptions!H72</f>
        <v>147.22999999999999</v>
      </c>
      <c r="M86" s="218">
        <f>Assumptions!I72</f>
        <v>145.22</v>
      </c>
      <c r="N86" s="218">
        <f>Assumptions!J72</f>
        <v>139.19</v>
      </c>
      <c r="O86" s="218">
        <f>Assumptions!K72</f>
        <v>141.19999999999999</v>
      </c>
      <c r="P86" s="209">
        <f>P90/P84</f>
        <v>144.53083477549589</v>
      </c>
      <c r="Q86" s="218">
        <f>Budget!P17</f>
        <v>143.62444000986568</v>
      </c>
      <c r="R86" s="209">
        <f t="shared" si="34"/>
        <v>0.90639476563021049</v>
      </c>
      <c r="S86" s="55">
        <f>IF(Q86=0,"n.a.",R86/ABS(Q86))</f>
        <v>6.3108671864478601E-3</v>
      </c>
    </row>
    <row r="87" spans="3:19" hidden="1" outlineLevel="1"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11"/>
      <c r="R87" s="2"/>
      <c r="S87" s="55"/>
    </row>
    <row r="88" spans="3:19" ht="13.9" hidden="1" outlineLevel="1">
      <c r="C88" s="175" t="s">
        <v>228</v>
      </c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219"/>
      <c r="R88" s="176"/>
      <c r="S88" s="210"/>
    </row>
    <row r="89" spans="3:19" hidden="1" outlineLevel="1">
      <c r="C89" s="1" t="s">
        <v>229</v>
      </c>
      <c r="D89" s="209">
        <f t="shared" ref="D89:I93" si="40">D41</f>
        <v>172744</v>
      </c>
      <c r="E89" s="209">
        <f t="shared" si="40"/>
        <v>164475</v>
      </c>
      <c r="F89" s="209">
        <f t="shared" si="40"/>
        <v>188932</v>
      </c>
      <c r="G89" s="209">
        <f t="shared" si="40"/>
        <v>182204</v>
      </c>
      <c r="H89" s="209">
        <f t="shared" si="40"/>
        <v>201096</v>
      </c>
      <c r="I89" s="209">
        <f t="shared" si="40"/>
        <v>237834</v>
      </c>
      <c r="J89" s="209">
        <f t="shared" ref="J89:O90" si="41">J83*J85</f>
        <v>292028.7942</v>
      </c>
      <c r="K89" s="209">
        <f t="shared" si="41"/>
        <v>275687.83250000002</v>
      </c>
      <c r="L89" s="209">
        <f t="shared" si="41"/>
        <v>219700.25</v>
      </c>
      <c r="M89" s="209">
        <f t="shared" si="41"/>
        <v>225095.26599999997</v>
      </c>
      <c r="N89" s="209">
        <f t="shared" si="41"/>
        <v>187263.93840000001</v>
      </c>
      <c r="O89" s="209">
        <f t="shared" si="41"/>
        <v>199456.05240000002</v>
      </c>
      <c r="P89" s="209">
        <f>SUM(D89:O89)</f>
        <v>2546517.1334999995</v>
      </c>
      <c r="Q89" s="218">
        <f>Budget!P21</f>
        <v>2763820.3</v>
      </c>
      <c r="R89" s="209">
        <f>P89-Q89</f>
        <v>-217303.16650000028</v>
      </c>
      <c r="S89" s="55">
        <f>IF(Q89=0,"n.a.",R89/ABS(Q89))</f>
        <v>-7.8624202340506835E-2</v>
      </c>
    </row>
    <row r="90" spans="3:19" hidden="1" outlineLevel="1">
      <c r="C90" s="1" t="s">
        <v>230</v>
      </c>
      <c r="D90" s="209">
        <f t="shared" si="40"/>
        <v>68105</v>
      </c>
      <c r="E90" s="209">
        <f t="shared" si="40"/>
        <v>70357</v>
      </c>
      <c r="F90" s="209">
        <f t="shared" si="40"/>
        <v>100375</v>
      </c>
      <c r="G90" s="209">
        <f t="shared" si="40"/>
        <v>117879.5</v>
      </c>
      <c r="H90" s="209">
        <f t="shared" si="40"/>
        <v>139635</v>
      </c>
      <c r="I90" s="209">
        <f t="shared" si="40"/>
        <v>141223.5</v>
      </c>
      <c r="J90" s="209">
        <f t="shared" si="41"/>
        <v>168313.96944999998</v>
      </c>
      <c r="K90" s="209">
        <f t="shared" si="41"/>
        <v>166047.14299999998</v>
      </c>
      <c r="L90" s="209">
        <f t="shared" si="41"/>
        <v>140899.10999999999</v>
      </c>
      <c r="M90" s="209">
        <f t="shared" si="41"/>
        <v>132298.32439999998</v>
      </c>
      <c r="N90" s="209">
        <f t="shared" si="41"/>
        <v>93886.438799999989</v>
      </c>
      <c r="O90" s="209">
        <f t="shared" si="41"/>
        <v>88670.775999999998</v>
      </c>
      <c r="P90" s="209">
        <f>SUM(D90:O90)</f>
        <v>1427690.7616499998</v>
      </c>
      <c r="Q90" s="218">
        <f>Budget!P22</f>
        <v>1281101.28</v>
      </c>
      <c r="R90" s="209">
        <f>P90-Q90</f>
        <v>146589.48164999974</v>
      </c>
      <c r="S90" s="55">
        <f>IF(Q90=0,"n.a.",R90/ABS(Q90))</f>
        <v>0.11442458448718414</v>
      </c>
    </row>
    <row r="91" spans="3:19" ht="13.9" hidden="1" outlineLevel="1">
      <c r="C91" s="200" t="s">
        <v>231</v>
      </c>
      <c r="D91" s="211">
        <f t="shared" si="40"/>
        <v>240849</v>
      </c>
      <c r="E91" s="211">
        <f t="shared" si="40"/>
        <v>234832</v>
      </c>
      <c r="F91" s="211">
        <f t="shared" si="40"/>
        <v>289307</v>
      </c>
      <c r="G91" s="211">
        <f t="shared" si="40"/>
        <v>300083.5</v>
      </c>
      <c r="H91" s="211">
        <f t="shared" si="40"/>
        <v>340731</v>
      </c>
      <c r="I91" s="211">
        <f t="shared" si="40"/>
        <v>379057.5</v>
      </c>
      <c r="J91" s="211">
        <f t="shared" ref="J91:O91" si="42">SUM(J89:J90)</f>
        <v>460342.76364999998</v>
      </c>
      <c r="K91" s="211">
        <f t="shared" si="42"/>
        <v>441734.9755</v>
      </c>
      <c r="L91" s="211">
        <f t="shared" si="42"/>
        <v>360599.36</v>
      </c>
      <c r="M91" s="211">
        <f t="shared" si="42"/>
        <v>357393.59039999999</v>
      </c>
      <c r="N91" s="211">
        <f t="shared" si="42"/>
        <v>281150.37719999999</v>
      </c>
      <c r="O91" s="211">
        <f t="shared" si="42"/>
        <v>288126.8284</v>
      </c>
      <c r="P91" s="211">
        <f>SUM(D91:O91)</f>
        <v>3974207.8951500002</v>
      </c>
      <c r="Q91" s="220">
        <f>Budget!P23</f>
        <v>4044921.5799999996</v>
      </c>
      <c r="R91" s="211">
        <f>P91-Q91</f>
        <v>-70713.684849999379</v>
      </c>
      <c r="S91" s="212">
        <f>IF(Q91=0,"n.a.",R91/ABS(Q91))</f>
        <v>-1.7482090431528065E-2</v>
      </c>
    </row>
    <row r="92" spans="3:19" hidden="1" outlineLevel="1">
      <c r="C92" s="199" t="s">
        <v>232</v>
      </c>
      <c r="D92" s="213">
        <f t="shared" si="40"/>
        <v>145.26477683956574</v>
      </c>
      <c r="E92" s="213">
        <f t="shared" si="40"/>
        <v>146.40399002493766</v>
      </c>
      <c r="F92" s="213">
        <f t="shared" si="40"/>
        <v>150.52393340270552</v>
      </c>
      <c r="G92" s="213">
        <f t="shared" si="40"/>
        <v>153.88897435897437</v>
      </c>
      <c r="H92" s="213">
        <f t="shared" si="40"/>
        <v>159.29453015427771</v>
      </c>
      <c r="I92" s="213">
        <f t="shared" si="40"/>
        <v>167.35430463576159</v>
      </c>
      <c r="J92" s="213">
        <f t="shared" ref="J92:P92" si="43">J91/J80</f>
        <v>175.10184999999998</v>
      </c>
      <c r="K92" s="213">
        <f t="shared" si="43"/>
        <v>172.14924999999999</v>
      </c>
      <c r="L92" s="213">
        <f t="shared" si="43"/>
        <v>163.90879999999999</v>
      </c>
      <c r="M92" s="213">
        <f t="shared" si="43"/>
        <v>160.8432</v>
      </c>
      <c r="N92" s="213">
        <f t="shared" si="43"/>
        <v>152.13764999999998</v>
      </c>
      <c r="O92" s="213">
        <f t="shared" si="43"/>
        <v>155.99719999999999</v>
      </c>
      <c r="P92" s="213">
        <f t="shared" si="43"/>
        <v>159.92788310462777</v>
      </c>
      <c r="Q92" s="221">
        <f>Budget!P24</f>
        <v>160.04279417583285</v>
      </c>
      <c r="R92" s="213">
        <f>P92-Q92</f>
        <v>-0.11491107120508559</v>
      </c>
      <c r="S92" s="62">
        <f>IF(Q92=0,"n.a.",R92/ABS(Q92))</f>
        <v>-7.1800215559119284E-4</v>
      </c>
    </row>
    <row r="93" spans="3:19" hidden="1" outlineLevel="1">
      <c r="C93" s="199" t="s">
        <v>233</v>
      </c>
      <c r="D93" s="213">
        <f t="shared" si="40"/>
        <v>77.693225806451608</v>
      </c>
      <c r="E93" s="213">
        <f t="shared" si="40"/>
        <v>83.868571428571428</v>
      </c>
      <c r="F93" s="213">
        <f t="shared" si="40"/>
        <v>93.324838709677422</v>
      </c>
      <c r="G93" s="213">
        <f t="shared" si="40"/>
        <v>100.02783333333333</v>
      </c>
      <c r="H93" s="213">
        <f t="shared" si="40"/>
        <v>109.91322580645161</v>
      </c>
      <c r="I93" s="213">
        <f t="shared" si="40"/>
        <v>126.35250000000001</v>
      </c>
      <c r="J93" s="213">
        <f t="shared" ref="J93:P93" si="44">J91/J79</f>
        <v>148.49766569354838</v>
      </c>
      <c r="K93" s="213">
        <f t="shared" si="44"/>
        <v>142.49515338709676</v>
      </c>
      <c r="L93" s="213">
        <f t="shared" si="44"/>
        <v>120.19978666666667</v>
      </c>
      <c r="M93" s="213">
        <f t="shared" si="44"/>
        <v>115.28825496774193</v>
      </c>
      <c r="N93" s="213">
        <f t="shared" si="44"/>
        <v>93.716792400000003</v>
      </c>
      <c r="O93" s="213">
        <f t="shared" si="44"/>
        <v>92.944138193548383</v>
      </c>
      <c r="P93" s="213">
        <f t="shared" si="44"/>
        <v>108.88240808630138</v>
      </c>
      <c r="Q93" s="221">
        <f>Budget!P25</f>
        <v>110.81976931506848</v>
      </c>
      <c r="R93" s="213">
        <f>P93-Q93</f>
        <v>-1.9373612287671023</v>
      </c>
      <c r="S93" s="62">
        <f>IF(Q93=0,"n.a.",R93/ABS(Q93))</f>
        <v>-1.7482090431528031E-2</v>
      </c>
    </row>
    <row r="94" spans="3:19" hidden="1" outlineLevel="1"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11"/>
      <c r="R94" s="2"/>
      <c r="S94" s="55"/>
    </row>
    <row r="95" spans="3:19" ht="13.9" hidden="1" outlineLevel="1">
      <c r="C95" s="175" t="s">
        <v>234</v>
      </c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219"/>
      <c r="R95" s="176"/>
      <c r="S95" s="210"/>
    </row>
    <row r="96" spans="3:19" hidden="1" outlineLevel="1">
      <c r="C96" s="199" t="s">
        <v>183</v>
      </c>
      <c r="D96" s="64">
        <f t="shared" ref="D96:I103" si="45">D48</f>
        <v>0.56999999999999995</v>
      </c>
      <c r="E96" s="64">
        <f t="shared" si="45"/>
        <v>0.55000000000000004</v>
      </c>
      <c r="F96" s="64">
        <f t="shared" si="45"/>
        <v>0.55999999999999994</v>
      </c>
      <c r="G96" s="64">
        <f t="shared" si="45"/>
        <v>0.62</v>
      </c>
      <c r="H96" s="64">
        <f t="shared" si="45"/>
        <v>0.60000000000000009</v>
      </c>
      <c r="I96" s="64">
        <f t="shared" si="45"/>
        <v>0.56000000000000005</v>
      </c>
      <c r="J96" s="71">
        <f>Assumptions!F73</f>
        <v>0.53</v>
      </c>
      <c r="K96" s="71">
        <f>Assumptions!G73</f>
        <v>0.51</v>
      </c>
      <c r="L96" s="71">
        <f>Assumptions!H73</f>
        <v>0.52</v>
      </c>
      <c r="M96" s="71">
        <f>Assumptions!I73</f>
        <v>0.53</v>
      </c>
      <c r="N96" s="71">
        <f>Assumptions!J73</f>
        <v>0.55000000000000004</v>
      </c>
      <c r="O96" s="71">
        <f>Assumptions!K73</f>
        <v>0.56000000000000005</v>
      </c>
      <c r="P96" s="64">
        <f>P98/P80</f>
        <v>0.55286881287726353</v>
      </c>
      <c r="Q96" s="71">
        <f>Budget!P29</f>
        <v>0.52799121626968426</v>
      </c>
      <c r="R96" s="64">
        <f t="shared" ref="R96:R103" si="46">P96-Q96</f>
        <v>2.4877596607579266E-2</v>
      </c>
      <c r="S96" s="62">
        <f t="shared" ref="S96:S101" si="47">IF(Q96=0,"n.a.",R96/ABS(Q96))</f>
        <v>4.7117444080494765E-2</v>
      </c>
    </row>
    <row r="97" spans="3:19" hidden="1" outlineLevel="1">
      <c r="C97" s="199" t="s">
        <v>278</v>
      </c>
      <c r="D97" s="213">
        <f t="shared" si="45"/>
        <v>21.899995767464503</v>
      </c>
      <c r="E97" s="213">
        <f t="shared" si="45"/>
        <v>22</v>
      </c>
      <c r="F97" s="213">
        <f t="shared" si="45"/>
        <v>22.09999814181656</v>
      </c>
      <c r="G97" s="213">
        <f t="shared" si="45"/>
        <v>23.25</v>
      </c>
      <c r="H97" s="213">
        <f t="shared" si="45"/>
        <v>23.249999999999996</v>
      </c>
      <c r="I97" s="213">
        <f t="shared" si="45"/>
        <v>23.249999999999996</v>
      </c>
      <c r="J97" s="221">
        <f>Assumptions!F47</f>
        <v>23.25</v>
      </c>
      <c r="K97" s="221">
        <f>Assumptions!G47</f>
        <v>23.25</v>
      </c>
      <c r="L97" s="221">
        <f>Assumptions!H47</f>
        <v>23.25</v>
      </c>
      <c r="M97" s="221">
        <f>Assumptions!I47</f>
        <v>23.25</v>
      </c>
      <c r="N97" s="221">
        <f>Assumptions!J47</f>
        <v>23.25</v>
      </c>
      <c r="O97" s="221">
        <f>Assumptions!K47</f>
        <v>23.25</v>
      </c>
      <c r="P97" s="213">
        <f>P99/P98</f>
        <v>22.986777765727552</v>
      </c>
      <c r="Q97" s="221">
        <f>Budget!P30</f>
        <v>22.388311432842873</v>
      </c>
      <c r="R97" s="213">
        <f t="shared" si="46"/>
        <v>0.59846633288467999</v>
      </c>
      <c r="S97" s="62">
        <f t="shared" si="47"/>
        <v>2.6731195636610215E-2</v>
      </c>
    </row>
    <row r="98" spans="3:19" hidden="1" outlineLevel="1">
      <c r="C98" s="1" t="s">
        <v>236</v>
      </c>
      <c r="D98" s="208">
        <f t="shared" si="45"/>
        <v>945.06</v>
      </c>
      <c r="E98" s="208">
        <f t="shared" si="45"/>
        <v>882.2</v>
      </c>
      <c r="F98" s="208">
        <f t="shared" si="45"/>
        <v>1076.32</v>
      </c>
      <c r="G98" s="208">
        <f t="shared" si="45"/>
        <v>1209</v>
      </c>
      <c r="H98" s="208">
        <f t="shared" si="45"/>
        <v>1283.4000000000001</v>
      </c>
      <c r="I98" s="208">
        <f t="shared" si="45"/>
        <v>1268.4000000000001</v>
      </c>
      <c r="J98" s="208">
        <f t="shared" ref="J98:O98" si="48">J80*J96</f>
        <v>1393.3700000000001</v>
      </c>
      <c r="K98" s="208">
        <f t="shared" si="48"/>
        <v>1308.6600000000001</v>
      </c>
      <c r="L98" s="208">
        <f t="shared" si="48"/>
        <v>1144</v>
      </c>
      <c r="M98" s="208">
        <f t="shared" si="48"/>
        <v>1177.6600000000001</v>
      </c>
      <c r="N98" s="208">
        <f t="shared" si="48"/>
        <v>1016.4000000000001</v>
      </c>
      <c r="O98" s="208">
        <f t="shared" si="48"/>
        <v>1034.3200000000002</v>
      </c>
      <c r="P98" s="208">
        <f>SUM(D98:O98)</f>
        <v>13738.789999999999</v>
      </c>
      <c r="Q98" s="105">
        <f>Budget!P31</f>
        <v>13344.45</v>
      </c>
      <c r="R98" s="208">
        <f t="shared" si="46"/>
        <v>394.33999999999833</v>
      </c>
      <c r="S98" s="55">
        <f t="shared" si="47"/>
        <v>2.9550861968833358E-2</v>
      </c>
    </row>
    <row r="99" spans="3:19" hidden="1" outlineLevel="1">
      <c r="C99" s="1" t="s">
        <v>237</v>
      </c>
      <c r="D99" s="209">
        <f t="shared" si="45"/>
        <v>20696.810000000001</v>
      </c>
      <c r="E99" s="209">
        <f t="shared" si="45"/>
        <v>19408.400000000001</v>
      </c>
      <c r="F99" s="209">
        <f t="shared" si="45"/>
        <v>23786.67</v>
      </c>
      <c r="G99" s="209">
        <f t="shared" si="45"/>
        <v>28109.25</v>
      </c>
      <c r="H99" s="209">
        <f t="shared" si="45"/>
        <v>29839.05</v>
      </c>
      <c r="I99" s="209">
        <f t="shared" si="45"/>
        <v>29490.3</v>
      </c>
      <c r="J99" s="209">
        <f t="shared" ref="J99:O99" si="49">J98*J97</f>
        <v>32395.852500000005</v>
      </c>
      <c r="K99" s="209">
        <f t="shared" si="49"/>
        <v>30426.345000000001</v>
      </c>
      <c r="L99" s="209">
        <f t="shared" si="49"/>
        <v>26598</v>
      </c>
      <c r="M99" s="209">
        <f t="shared" si="49"/>
        <v>27380.595000000001</v>
      </c>
      <c r="N99" s="209">
        <f t="shared" si="49"/>
        <v>23631.300000000003</v>
      </c>
      <c r="O99" s="209">
        <f t="shared" si="49"/>
        <v>24047.940000000002</v>
      </c>
      <c r="P99" s="209">
        <f>SUM(D99:O99)</f>
        <v>315810.51250000001</v>
      </c>
      <c r="Q99" s="218">
        <f>Budget!P32</f>
        <v>298759.70250000007</v>
      </c>
      <c r="R99" s="209">
        <f t="shared" si="46"/>
        <v>17050.809999999939</v>
      </c>
      <c r="S99" s="55">
        <f t="shared" si="47"/>
        <v>5.7071987477962945E-2</v>
      </c>
    </row>
    <row r="100" spans="3:19" hidden="1" outlineLevel="1">
      <c r="C100" s="199" t="s">
        <v>186</v>
      </c>
      <c r="D100" s="213">
        <f t="shared" si="45"/>
        <v>18.599999999999998</v>
      </c>
      <c r="E100" s="213">
        <f t="shared" si="45"/>
        <v>18.5</v>
      </c>
      <c r="F100" s="213">
        <f t="shared" si="45"/>
        <v>19.099999999999998</v>
      </c>
      <c r="G100" s="213">
        <f t="shared" si="45"/>
        <v>19.399999999999999</v>
      </c>
      <c r="H100" s="213">
        <f t="shared" si="45"/>
        <v>19.799999999999997</v>
      </c>
      <c r="I100" s="213">
        <f t="shared" si="45"/>
        <v>20.100000000000001</v>
      </c>
      <c r="J100" s="221">
        <f>Assumptions!F48</f>
        <v>20</v>
      </c>
      <c r="K100" s="221">
        <f>Assumptions!G48</f>
        <v>20</v>
      </c>
      <c r="L100" s="221">
        <f>Assumptions!H48</f>
        <v>19.8</v>
      </c>
      <c r="M100" s="221">
        <f>Assumptions!I48</f>
        <v>19.5</v>
      </c>
      <c r="N100" s="221">
        <f>Assumptions!J48</f>
        <v>19</v>
      </c>
      <c r="O100" s="221">
        <f>Assumptions!K48</f>
        <v>19.2</v>
      </c>
      <c r="P100" s="213">
        <f>P101/P80</f>
        <v>19.488736418511067</v>
      </c>
      <c r="Q100" s="221">
        <f>Budget!P33</f>
        <v>19.414006488881853</v>
      </c>
      <c r="R100" s="213">
        <f t="shared" si="46"/>
        <v>7.4729929629214098E-2</v>
      </c>
      <c r="S100" s="62">
        <f t="shared" si="47"/>
        <v>3.8492791105231654E-3</v>
      </c>
    </row>
    <row r="101" spans="3:19" hidden="1" outlineLevel="1">
      <c r="C101" s="1" t="s">
        <v>238</v>
      </c>
      <c r="D101" s="209">
        <f t="shared" si="45"/>
        <v>30838.799999999999</v>
      </c>
      <c r="E101" s="209">
        <f t="shared" si="45"/>
        <v>29674</v>
      </c>
      <c r="F101" s="209">
        <f t="shared" si="45"/>
        <v>36710.199999999997</v>
      </c>
      <c r="G101" s="209">
        <f t="shared" si="45"/>
        <v>37830</v>
      </c>
      <c r="H101" s="209">
        <f t="shared" si="45"/>
        <v>42352.2</v>
      </c>
      <c r="I101" s="209">
        <f t="shared" si="45"/>
        <v>45526.5</v>
      </c>
      <c r="J101" s="209">
        <f t="shared" ref="J101:O101" si="50">J80*J100</f>
        <v>52580</v>
      </c>
      <c r="K101" s="209">
        <f t="shared" si="50"/>
        <v>51320</v>
      </c>
      <c r="L101" s="209">
        <f t="shared" si="50"/>
        <v>43560</v>
      </c>
      <c r="M101" s="209">
        <f t="shared" si="50"/>
        <v>43329</v>
      </c>
      <c r="N101" s="209">
        <f t="shared" si="50"/>
        <v>35112</v>
      </c>
      <c r="O101" s="209">
        <f t="shared" si="50"/>
        <v>35462.400000000001</v>
      </c>
      <c r="P101" s="209">
        <f>SUM(D101:O101)</f>
        <v>484295.10000000003</v>
      </c>
      <c r="Q101" s="218">
        <f>Budget!P34</f>
        <v>490669.6</v>
      </c>
      <c r="R101" s="209">
        <f t="shared" si="46"/>
        <v>-6374.4999999999418</v>
      </c>
      <c r="S101" s="55">
        <f t="shared" si="47"/>
        <v>-1.299143048601328E-2</v>
      </c>
    </row>
    <row r="102" spans="3:19" hidden="1" outlineLevel="1">
      <c r="C102" s="199" t="s">
        <v>187</v>
      </c>
      <c r="D102" s="62">
        <f t="shared" si="45"/>
        <v>3.9999999999999994E-2</v>
      </c>
      <c r="E102" s="62">
        <f t="shared" si="45"/>
        <v>0.04</v>
      </c>
      <c r="F102" s="62">
        <f t="shared" si="45"/>
        <v>0.04</v>
      </c>
      <c r="G102" s="62">
        <f t="shared" si="45"/>
        <v>0.04</v>
      </c>
      <c r="H102" s="62">
        <f t="shared" si="45"/>
        <v>0.04</v>
      </c>
      <c r="I102" s="62">
        <f t="shared" si="45"/>
        <v>0.04</v>
      </c>
      <c r="J102" s="69">
        <f>Assumptions!F49</f>
        <v>0.04</v>
      </c>
      <c r="K102" s="69">
        <f>Assumptions!G49</f>
        <v>0.04</v>
      </c>
      <c r="L102" s="69">
        <f>Assumptions!H49</f>
        <v>0.04</v>
      </c>
      <c r="M102" s="69">
        <f>Assumptions!I49</f>
        <v>0.04</v>
      </c>
      <c r="N102" s="69">
        <f>Assumptions!J49</f>
        <v>0.04</v>
      </c>
      <c r="O102" s="69">
        <f>Assumptions!K49</f>
        <v>0.04</v>
      </c>
      <c r="P102" s="62">
        <f>P103/P91</f>
        <v>3.9999999999999994E-2</v>
      </c>
      <c r="Q102" s="69">
        <f>Budget!P35</f>
        <v>3.9999999999999994E-2</v>
      </c>
      <c r="R102" s="62">
        <f t="shared" si="46"/>
        <v>0</v>
      </c>
      <c r="S102" s="62">
        <f>R102</f>
        <v>0</v>
      </c>
    </row>
    <row r="103" spans="3:19" hidden="1" outlineLevel="1">
      <c r="C103" s="1" t="s">
        <v>239</v>
      </c>
      <c r="D103" s="209">
        <f t="shared" si="45"/>
        <v>9633.9599999999991</v>
      </c>
      <c r="E103" s="209">
        <f t="shared" si="45"/>
        <v>9393.2800000000007</v>
      </c>
      <c r="F103" s="209">
        <f t="shared" si="45"/>
        <v>11572.28</v>
      </c>
      <c r="G103" s="209">
        <f t="shared" si="45"/>
        <v>12003.34</v>
      </c>
      <c r="H103" s="209">
        <f t="shared" si="45"/>
        <v>13629.24</v>
      </c>
      <c r="I103" s="209">
        <f t="shared" si="45"/>
        <v>15162.3</v>
      </c>
      <c r="J103" s="209">
        <f t="shared" ref="J103:O103" si="51">J91*J102</f>
        <v>18413.710545999998</v>
      </c>
      <c r="K103" s="209">
        <f t="shared" si="51"/>
        <v>17669.399020000001</v>
      </c>
      <c r="L103" s="209">
        <f t="shared" si="51"/>
        <v>14423.974399999999</v>
      </c>
      <c r="M103" s="209">
        <f t="shared" si="51"/>
        <v>14295.743616</v>
      </c>
      <c r="N103" s="209">
        <f t="shared" si="51"/>
        <v>11246.015088</v>
      </c>
      <c r="O103" s="209">
        <f t="shared" si="51"/>
        <v>11525.073136000001</v>
      </c>
      <c r="P103" s="209">
        <f>SUM(D103:O103)</f>
        <v>158968.315806</v>
      </c>
      <c r="Q103" s="218">
        <f>Budget!P36</f>
        <v>161796.86319999996</v>
      </c>
      <c r="R103" s="209">
        <f t="shared" si="46"/>
        <v>-2828.5473939999647</v>
      </c>
      <c r="S103" s="55">
        <f>IF(Q103=0,"n.a.",R103/ABS(Q103))</f>
        <v>-1.7482090431528003E-2</v>
      </c>
    </row>
    <row r="104" spans="3:19" hidden="1" outlineLevel="1"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11"/>
      <c r="R104" s="2"/>
      <c r="S104" s="55"/>
    </row>
    <row r="105" spans="3:19" ht="13.9" hidden="1" outlineLevel="1">
      <c r="C105" s="175" t="s">
        <v>240</v>
      </c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219"/>
      <c r="R105" s="176"/>
      <c r="S105" s="210"/>
    </row>
    <row r="106" spans="3:19" hidden="1" outlineLevel="1">
      <c r="C106" s="1" t="s">
        <v>189</v>
      </c>
      <c r="D106" s="60">
        <f t="shared" ref="D106:I111" si="52">D58</f>
        <v>5</v>
      </c>
      <c r="E106" s="60">
        <f t="shared" si="52"/>
        <v>5</v>
      </c>
      <c r="F106" s="60">
        <f t="shared" si="52"/>
        <v>5</v>
      </c>
      <c r="G106" s="60">
        <f t="shared" si="52"/>
        <v>5</v>
      </c>
      <c r="H106" s="60">
        <f t="shared" si="52"/>
        <v>5</v>
      </c>
      <c r="I106" s="60">
        <f t="shared" si="52"/>
        <v>5</v>
      </c>
      <c r="J106" s="59">
        <f>Assumptions!F50</f>
        <v>5</v>
      </c>
      <c r="K106" s="59">
        <f>Assumptions!G50</f>
        <v>5</v>
      </c>
      <c r="L106" s="59">
        <f>Assumptions!H50</f>
        <v>5</v>
      </c>
      <c r="M106" s="59">
        <f>Assumptions!I50</f>
        <v>5</v>
      </c>
      <c r="N106" s="59">
        <f>Assumptions!J50</f>
        <v>5</v>
      </c>
      <c r="O106" s="59">
        <f>Assumptions!K50</f>
        <v>5</v>
      </c>
      <c r="P106" s="60">
        <f>AVERAGE(D106:O106)</f>
        <v>5</v>
      </c>
      <c r="Q106" s="59">
        <f>Budget!P40</f>
        <v>5</v>
      </c>
      <c r="R106" s="60">
        <f t="shared" ref="R106:R111" si="53">P106-Q106</f>
        <v>0</v>
      </c>
      <c r="S106" s="55">
        <f t="shared" ref="S106:S111" si="54">IF(Q106=0,"n.a.",R106/ABS(Q106))</f>
        <v>0</v>
      </c>
    </row>
    <row r="107" spans="3:19" hidden="1" outlineLevel="1">
      <c r="C107" s="199" t="s">
        <v>279</v>
      </c>
      <c r="D107" s="213">
        <f t="shared" si="52"/>
        <v>5980</v>
      </c>
      <c r="E107" s="213">
        <f t="shared" si="52"/>
        <v>6005</v>
      </c>
      <c r="F107" s="213">
        <f t="shared" si="52"/>
        <v>6015</v>
      </c>
      <c r="G107" s="213">
        <f t="shared" si="52"/>
        <v>6040</v>
      </c>
      <c r="H107" s="213">
        <f t="shared" si="52"/>
        <v>6070</v>
      </c>
      <c r="I107" s="213">
        <f t="shared" si="52"/>
        <v>6050</v>
      </c>
      <c r="J107" s="221">
        <f>Assumptions!F51</f>
        <v>6120</v>
      </c>
      <c r="K107" s="221">
        <f>Assumptions!G51</f>
        <v>6120</v>
      </c>
      <c r="L107" s="221">
        <f>Assumptions!H51</f>
        <v>6120</v>
      </c>
      <c r="M107" s="221">
        <f>Assumptions!I51</f>
        <v>6120</v>
      </c>
      <c r="N107" s="221">
        <f>Assumptions!J51</f>
        <v>6120</v>
      </c>
      <c r="O107" s="221">
        <f>Assumptions!K51</f>
        <v>6120</v>
      </c>
      <c r="P107" s="213">
        <f>P108/SUM(D106:O106)</f>
        <v>6073.333333333333</v>
      </c>
      <c r="Q107" s="221">
        <f>Budget!P41</f>
        <v>6060</v>
      </c>
      <c r="R107" s="213">
        <f t="shared" si="53"/>
        <v>13.33333333333303</v>
      </c>
      <c r="S107" s="62">
        <f t="shared" si="54"/>
        <v>2.2002200220021502E-3</v>
      </c>
    </row>
    <row r="108" spans="3:19" hidden="1" outlineLevel="1">
      <c r="C108" s="1" t="s">
        <v>280</v>
      </c>
      <c r="D108" s="209">
        <f t="shared" si="52"/>
        <v>29900</v>
      </c>
      <c r="E108" s="209">
        <f t="shared" si="52"/>
        <v>30025</v>
      </c>
      <c r="F108" s="209">
        <f t="shared" si="52"/>
        <v>30075</v>
      </c>
      <c r="G108" s="209">
        <f t="shared" si="52"/>
        <v>30200</v>
      </c>
      <c r="H108" s="209">
        <f t="shared" si="52"/>
        <v>30350</v>
      </c>
      <c r="I108" s="209">
        <f t="shared" si="52"/>
        <v>30250</v>
      </c>
      <c r="J108" s="209">
        <f t="shared" ref="J108:O108" si="55">J106*J107</f>
        <v>30600</v>
      </c>
      <c r="K108" s="209">
        <f t="shared" si="55"/>
        <v>30600</v>
      </c>
      <c r="L108" s="209">
        <f t="shared" si="55"/>
        <v>30600</v>
      </c>
      <c r="M108" s="209">
        <f t="shared" si="55"/>
        <v>30600</v>
      </c>
      <c r="N108" s="209">
        <f t="shared" si="55"/>
        <v>30600</v>
      </c>
      <c r="O108" s="209">
        <f t="shared" si="55"/>
        <v>30600</v>
      </c>
      <c r="P108" s="209">
        <f>SUM(D108:O108)</f>
        <v>364400</v>
      </c>
      <c r="Q108" s="218">
        <f>Budget!P42</f>
        <v>363600</v>
      </c>
      <c r="R108" s="209">
        <f t="shared" si="53"/>
        <v>800</v>
      </c>
      <c r="S108" s="55">
        <f t="shared" si="54"/>
        <v>2.2002200220022001E-3</v>
      </c>
    </row>
    <row r="109" spans="3:19" hidden="1" outlineLevel="1">
      <c r="C109" s="1" t="s">
        <v>67</v>
      </c>
      <c r="D109" s="209">
        <f t="shared" si="52"/>
        <v>78000</v>
      </c>
      <c r="E109" s="209">
        <f t="shared" si="52"/>
        <v>78000</v>
      </c>
      <c r="F109" s="209">
        <f t="shared" si="52"/>
        <v>78000</v>
      </c>
      <c r="G109" s="209">
        <f t="shared" si="52"/>
        <v>78000</v>
      </c>
      <c r="H109" s="209">
        <f t="shared" si="52"/>
        <v>78000</v>
      </c>
      <c r="I109" s="209">
        <f t="shared" si="52"/>
        <v>78000</v>
      </c>
      <c r="J109" s="218">
        <f>Assumptions!F52</f>
        <v>78000</v>
      </c>
      <c r="K109" s="218">
        <f>Assumptions!G52</f>
        <v>78000</v>
      </c>
      <c r="L109" s="218">
        <f>Assumptions!H52</f>
        <v>78000</v>
      </c>
      <c r="M109" s="218">
        <f>Assumptions!I52</f>
        <v>78000</v>
      </c>
      <c r="N109" s="218">
        <f>Assumptions!J52</f>
        <v>78000</v>
      </c>
      <c r="O109" s="218">
        <f>Assumptions!K52</f>
        <v>78000</v>
      </c>
      <c r="P109" s="209">
        <f>SUM(D109:O109)</f>
        <v>936000</v>
      </c>
      <c r="Q109" s="218">
        <f>Budget!P43</f>
        <v>936000</v>
      </c>
      <c r="R109" s="209">
        <f t="shared" si="53"/>
        <v>0</v>
      </c>
      <c r="S109" s="55">
        <f t="shared" si="54"/>
        <v>0</v>
      </c>
    </row>
    <row r="110" spans="3:19" hidden="1" outlineLevel="1">
      <c r="C110" s="1" t="s">
        <v>191</v>
      </c>
      <c r="D110" s="209">
        <f t="shared" si="52"/>
        <v>28050</v>
      </c>
      <c r="E110" s="209">
        <f t="shared" si="52"/>
        <v>27920</v>
      </c>
      <c r="F110" s="209">
        <f t="shared" si="52"/>
        <v>28620</v>
      </c>
      <c r="G110" s="209">
        <f t="shared" si="52"/>
        <v>28710</v>
      </c>
      <c r="H110" s="209">
        <f t="shared" si="52"/>
        <v>30350</v>
      </c>
      <c r="I110" s="209">
        <f t="shared" si="52"/>
        <v>29410</v>
      </c>
      <c r="J110" s="218">
        <f>Assumptions!F53</f>
        <v>29800</v>
      </c>
      <c r="K110" s="218">
        <f>Assumptions!G53</f>
        <v>30000</v>
      </c>
      <c r="L110" s="218">
        <f>Assumptions!H53</f>
        <v>29400</v>
      </c>
      <c r="M110" s="218">
        <f>Assumptions!I53</f>
        <v>29100</v>
      </c>
      <c r="N110" s="218">
        <f>Assumptions!J53</f>
        <v>28700</v>
      </c>
      <c r="O110" s="218">
        <f>Assumptions!K53</f>
        <v>29000</v>
      </c>
      <c r="P110" s="209">
        <f>SUM(D110:O110)</f>
        <v>349060</v>
      </c>
      <c r="Q110" s="218">
        <f>Budget!P44</f>
        <v>347300</v>
      </c>
      <c r="R110" s="209">
        <f t="shared" si="53"/>
        <v>1760</v>
      </c>
      <c r="S110" s="55">
        <f t="shared" si="54"/>
        <v>5.0676648430751509E-3</v>
      </c>
    </row>
    <row r="111" spans="3:19" hidden="1" outlineLevel="1">
      <c r="C111" s="1" t="s">
        <v>71</v>
      </c>
      <c r="D111" s="209">
        <f t="shared" si="52"/>
        <v>10200</v>
      </c>
      <c r="E111" s="209">
        <f t="shared" si="52"/>
        <v>8800</v>
      </c>
      <c r="F111" s="209">
        <f t="shared" si="52"/>
        <v>11300</v>
      </c>
      <c r="G111" s="209">
        <f t="shared" si="52"/>
        <v>13100</v>
      </c>
      <c r="H111" s="209">
        <f t="shared" si="52"/>
        <v>14200</v>
      </c>
      <c r="I111" s="209">
        <f t="shared" si="52"/>
        <v>6000</v>
      </c>
      <c r="J111" s="218">
        <f>Assumptions!F54</f>
        <v>18000</v>
      </c>
      <c r="K111" s="218">
        <f>Assumptions!G54</f>
        <v>15000</v>
      </c>
      <c r="L111" s="218">
        <f>Assumptions!H54</f>
        <v>30000</v>
      </c>
      <c r="M111" s="218">
        <f>Assumptions!I54</f>
        <v>13000</v>
      </c>
      <c r="N111" s="218">
        <f>Assumptions!J54</f>
        <v>12000</v>
      </c>
      <c r="O111" s="218">
        <f>Assumptions!K54</f>
        <v>16000</v>
      </c>
      <c r="P111" s="209">
        <f>SUM(D111:O111)</f>
        <v>167600</v>
      </c>
      <c r="Q111" s="218">
        <f>Budget!P45</f>
        <v>167000</v>
      </c>
      <c r="R111" s="209">
        <f t="shared" si="53"/>
        <v>600</v>
      </c>
      <c r="S111" s="55">
        <f t="shared" si="54"/>
        <v>3.592814371257485E-3</v>
      </c>
    </row>
    <row r="112" spans="3:19" hidden="1" outlineLevel="1"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11"/>
      <c r="R112" s="2"/>
      <c r="S112" s="55"/>
    </row>
    <row r="113" spans="3:19" ht="13.9" hidden="1" outlineLevel="1">
      <c r="C113" s="175" t="s">
        <v>244</v>
      </c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219"/>
      <c r="R113" s="176"/>
      <c r="S113" s="210"/>
    </row>
    <row r="114" spans="3:19" ht="13.9" hidden="1" outlineLevel="1">
      <c r="C114" s="201" t="s">
        <v>245</v>
      </c>
      <c r="D114" s="214">
        <f t="shared" ref="D114:I116" si="56">D66</f>
        <v>207319.57</v>
      </c>
      <c r="E114" s="214">
        <f t="shared" si="56"/>
        <v>203220.68</v>
      </c>
      <c r="F114" s="214">
        <f t="shared" si="56"/>
        <v>220064.15</v>
      </c>
      <c r="G114" s="214">
        <f t="shared" si="56"/>
        <v>227952.59</v>
      </c>
      <c r="H114" s="214">
        <f t="shared" si="56"/>
        <v>238720.49</v>
      </c>
      <c r="I114" s="214">
        <f t="shared" si="56"/>
        <v>233839.1</v>
      </c>
      <c r="J114" s="214">
        <f t="shared" ref="J114:O114" si="57">SUM(J99,J101,J103,J108:J111)</f>
        <v>259789.56304600002</v>
      </c>
      <c r="K114" s="214">
        <f t="shared" si="57"/>
        <v>253015.74401999998</v>
      </c>
      <c r="L114" s="214">
        <f t="shared" si="57"/>
        <v>252581.97440000001</v>
      </c>
      <c r="M114" s="214">
        <f t="shared" si="57"/>
        <v>235705.33861599999</v>
      </c>
      <c r="N114" s="214">
        <f t="shared" si="57"/>
        <v>219289.315088</v>
      </c>
      <c r="O114" s="214">
        <f t="shared" si="57"/>
        <v>224635.41313599999</v>
      </c>
      <c r="P114" s="214">
        <f>SUM(D114:O114)</f>
        <v>2776133.9283059998</v>
      </c>
      <c r="Q114" s="222">
        <f>Budget!P49</f>
        <v>2765126.1656999998</v>
      </c>
      <c r="R114" s="214">
        <f>P114-Q114</f>
        <v>11007.762606000062</v>
      </c>
      <c r="S114" s="215">
        <f>IF(Q114=0,"n.a.",R114/ABS(Q114))</f>
        <v>3.9809259854200595E-3</v>
      </c>
    </row>
    <row r="115" spans="3:19" ht="13.9" hidden="1" outlineLevel="1">
      <c r="C115" s="202" t="s">
        <v>246</v>
      </c>
      <c r="D115" s="216">
        <f t="shared" si="56"/>
        <v>33529.429999999993</v>
      </c>
      <c r="E115" s="216">
        <f t="shared" si="56"/>
        <v>31611.320000000007</v>
      </c>
      <c r="F115" s="216">
        <f t="shared" si="56"/>
        <v>69242.850000000006</v>
      </c>
      <c r="G115" s="216">
        <f t="shared" si="56"/>
        <v>72130.91</v>
      </c>
      <c r="H115" s="216">
        <f t="shared" si="56"/>
        <v>102010.51000000001</v>
      </c>
      <c r="I115" s="216">
        <f t="shared" si="56"/>
        <v>145218.4</v>
      </c>
      <c r="J115" s="216">
        <f t="shared" ref="J115:O115" si="58">J91-J114</f>
        <v>200553.20060399995</v>
      </c>
      <c r="K115" s="216">
        <f t="shared" si="58"/>
        <v>188719.23148000002</v>
      </c>
      <c r="L115" s="216">
        <f t="shared" si="58"/>
        <v>108017.38559999998</v>
      </c>
      <c r="M115" s="216">
        <f t="shared" si="58"/>
        <v>121688.25178399999</v>
      </c>
      <c r="N115" s="216">
        <f t="shared" si="58"/>
        <v>61861.062111999985</v>
      </c>
      <c r="O115" s="216">
        <f t="shared" si="58"/>
        <v>63491.41526400001</v>
      </c>
      <c r="P115" s="216">
        <f>SUM(D115:O115)</f>
        <v>1198073.9668440002</v>
      </c>
      <c r="Q115" s="223">
        <f>Budget!P50</f>
        <v>1279795.4142999998</v>
      </c>
      <c r="R115" s="216">
        <f>P115-Q115</f>
        <v>-81721.447455999674</v>
      </c>
      <c r="S115" s="217">
        <f>IF(Q115=0,"n.a.",R115/ABS(Q115))</f>
        <v>-6.3855086948173073E-2</v>
      </c>
    </row>
    <row r="116" spans="3:19" hidden="1" outlineLevel="1">
      <c r="C116" s="199" t="s">
        <v>247</v>
      </c>
      <c r="D116" s="62">
        <f t="shared" si="56"/>
        <v>0.13921349061029936</v>
      </c>
      <c r="E116" s="62">
        <f t="shared" si="56"/>
        <v>0.13461248892825511</v>
      </c>
      <c r="F116" s="62">
        <f t="shared" si="56"/>
        <v>0.23934038927506077</v>
      </c>
      <c r="G116" s="62">
        <f t="shared" si="56"/>
        <v>0.2403694638325666</v>
      </c>
      <c r="H116" s="62">
        <f t="shared" si="56"/>
        <v>0.29938722922187888</v>
      </c>
      <c r="I116" s="62">
        <f t="shared" si="56"/>
        <v>0.38310388265632522</v>
      </c>
      <c r="J116" s="62">
        <f t="shared" ref="J116:P116" si="59">J115/J91</f>
        <v>0.43566059128167628</v>
      </c>
      <c r="K116" s="62">
        <f t="shared" si="59"/>
        <v>0.42722275107690677</v>
      </c>
      <c r="L116" s="62">
        <f t="shared" si="59"/>
        <v>0.29954957657162784</v>
      </c>
      <c r="M116" s="62">
        <f t="shared" si="59"/>
        <v>0.34048806428734429</v>
      </c>
      <c r="N116" s="62">
        <f t="shared" si="59"/>
        <v>0.22002838028559468</v>
      </c>
      <c r="O116" s="62">
        <f t="shared" si="59"/>
        <v>0.22035926198394931</v>
      </c>
      <c r="P116" s="62">
        <f t="shared" si="59"/>
        <v>0.30146232870859435</v>
      </c>
      <c r="Q116" s="69">
        <f>Budget!P51</f>
        <v>0.31639560594398469</v>
      </c>
      <c r="R116" s="62">
        <f>P116-Q116</f>
        <v>-1.4933277235390341E-2</v>
      </c>
      <c r="S116" s="62">
        <f>R116</f>
        <v>-1.4933277235390341E-2</v>
      </c>
    </row>
    <row r="117" spans="3:19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3:19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3:19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3:19" collapsed="1">
      <c r="C120" s="198" t="s">
        <v>282</v>
      </c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</row>
    <row r="121" spans="3:19" hidden="1" outlineLevel="1">
      <c r="C121" s="1" t="s">
        <v>272</v>
      </c>
      <c r="D121" s="203" t="s">
        <v>273</v>
      </c>
      <c r="E121" s="203" t="s">
        <v>273</v>
      </c>
      <c r="F121" s="203" t="s">
        <v>273</v>
      </c>
      <c r="G121" s="203" t="s">
        <v>273</v>
      </c>
      <c r="H121" s="203" t="s">
        <v>273</v>
      </c>
      <c r="I121" s="203" t="s">
        <v>273</v>
      </c>
      <c r="J121" s="204" t="s">
        <v>274</v>
      </c>
      <c r="K121" s="204" t="s">
        <v>274</v>
      </c>
      <c r="L121" s="204" t="s">
        <v>274</v>
      </c>
      <c r="M121" s="204" t="s">
        <v>274</v>
      </c>
      <c r="N121" s="204" t="s">
        <v>274</v>
      </c>
      <c r="O121" s="204" t="s">
        <v>274</v>
      </c>
      <c r="P121" s="153" t="s">
        <v>219</v>
      </c>
      <c r="Q121" s="153" t="s">
        <v>257</v>
      </c>
      <c r="R121" s="153" t="s">
        <v>19</v>
      </c>
      <c r="S121" s="153" t="s">
        <v>275</v>
      </c>
    </row>
    <row r="122" spans="3:19" hidden="1" outlineLevel="1">
      <c r="C122" s="1" t="s">
        <v>276</v>
      </c>
      <c r="D122" s="205">
        <v>46023</v>
      </c>
      <c r="E122" s="205">
        <v>46054</v>
      </c>
      <c r="F122" s="205">
        <v>46082</v>
      </c>
      <c r="G122" s="205">
        <v>46113</v>
      </c>
      <c r="H122" s="205">
        <v>46143</v>
      </c>
      <c r="I122" s="205">
        <v>46174</v>
      </c>
      <c r="J122" s="206">
        <v>46204</v>
      </c>
      <c r="K122" s="206">
        <v>46235</v>
      </c>
      <c r="L122" s="206">
        <v>46266</v>
      </c>
      <c r="M122" s="206">
        <v>46296</v>
      </c>
      <c r="N122" s="206">
        <v>46327</v>
      </c>
      <c r="O122" s="206">
        <v>46357</v>
      </c>
      <c r="P122" s="153" t="s">
        <v>219</v>
      </c>
      <c r="Q122" s="153" t="s">
        <v>257</v>
      </c>
      <c r="R122" s="153" t="s">
        <v>19</v>
      </c>
      <c r="S122" s="153" t="s">
        <v>275</v>
      </c>
    </row>
    <row r="123" spans="3:19" hidden="1" outlineLevel="1">
      <c r="C123" s="1" t="s">
        <v>277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3:19" ht="13.9" hidden="1" outlineLevel="1">
      <c r="C124" s="175" t="s">
        <v>221</v>
      </c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</row>
    <row r="125" spans="3:19" hidden="1" outlineLevel="1">
      <c r="C125" s="1" t="s">
        <v>172</v>
      </c>
      <c r="D125" s="207">
        <f t="shared" ref="D125:I134" si="60">D29</f>
        <v>100</v>
      </c>
      <c r="E125" s="207">
        <f t="shared" si="60"/>
        <v>100</v>
      </c>
      <c r="F125" s="207">
        <f t="shared" si="60"/>
        <v>100</v>
      </c>
      <c r="G125" s="207">
        <f t="shared" si="60"/>
        <v>100</v>
      </c>
      <c r="H125" s="207">
        <f t="shared" si="60"/>
        <v>100</v>
      </c>
      <c r="I125" s="207">
        <f t="shared" si="60"/>
        <v>100</v>
      </c>
      <c r="J125" s="104">
        <f>Assumptions!F41</f>
        <v>100</v>
      </c>
      <c r="K125" s="104">
        <f>Assumptions!G41</f>
        <v>100</v>
      </c>
      <c r="L125" s="104">
        <f>Assumptions!H41</f>
        <v>100</v>
      </c>
      <c r="M125" s="104">
        <f>Assumptions!I41</f>
        <v>100</v>
      </c>
      <c r="N125" s="104">
        <f>Assumptions!J41</f>
        <v>100</v>
      </c>
      <c r="O125" s="104">
        <f>Assumptions!K41</f>
        <v>100</v>
      </c>
      <c r="P125" s="207">
        <f>AVERAGE(D125:O125)</f>
        <v>100</v>
      </c>
      <c r="Q125" s="104">
        <f>Budget!P8</f>
        <v>100</v>
      </c>
      <c r="R125" s="207">
        <f t="shared" ref="R125:R134" si="61">P125-Q125</f>
        <v>0</v>
      </c>
      <c r="S125" s="55">
        <f>IF(Q125=0,"n.a.",R125/ABS(Q125))</f>
        <v>0</v>
      </c>
    </row>
    <row r="126" spans="3:19" hidden="1" outlineLevel="1">
      <c r="C126" s="1" t="s">
        <v>222</v>
      </c>
      <c r="D126" s="207">
        <f t="shared" si="60"/>
        <v>31</v>
      </c>
      <c r="E126" s="207">
        <f t="shared" si="60"/>
        <v>28</v>
      </c>
      <c r="F126" s="207">
        <f t="shared" si="60"/>
        <v>31</v>
      </c>
      <c r="G126" s="207">
        <f t="shared" si="60"/>
        <v>30</v>
      </c>
      <c r="H126" s="207">
        <f t="shared" si="60"/>
        <v>31</v>
      </c>
      <c r="I126" s="207">
        <f t="shared" si="60"/>
        <v>30</v>
      </c>
      <c r="J126" s="207">
        <f t="shared" ref="J126:O126" si="62">DATE(YEAR(J$122),MONTH(J$122)+1,1)-J$122</f>
        <v>31</v>
      </c>
      <c r="K126" s="207">
        <f t="shared" si="62"/>
        <v>31</v>
      </c>
      <c r="L126" s="207">
        <f t="shared" si="62"/>
        <v>30</v>
      </c>
      <c r="M126" s="207">
        <f t="shared" si="62"/>
        <v>31</v>
      </c>
      <c r="N126" s="207">
        <f t="shared" si="62"/>
        <v>30</v>
      </c>
      <c r="O126" s="207">
        <f t="shared" si="62"/>
        <v>31</v>
      </c>
      <c r="P126" s="207">
        <f>SUM(D126:O126)</f>
        <v>365</v>
      </c>
      <c r="Q126" s="104">
        <f>Budget!P9</f>
        <v>365</v>
      </c>
      <c r="R126" s="207">
        <f t="shared" si="61"/>
        <v>0</v>
      </c>
      <c r="S126" s="55">
        <f>IF(Q126=0,"n.a.",R126/ABS(Q126))</f>
        <v>0</v>
      </c>
    </row>
    <row r="127" spans="3:19" hidden="1" outlineLevel="1">
      <c r="C127" s="1" t="s">
        <v>223</v>
      </c>
      <c r="D127" s="207">
        <f t="shared" si="60"/>
        <v>3100</v>
      </c>
      <c r="E127" s="207">
        <f t="shared" si="60"/>
        <v>2800</v>
      </c>
      <c r="F127" s="207">
        <f t="shared" si="60"/>
        <v>3100</v>
      </c>
      <c r="G127" s="207">
        <f t="shared" si="60"/>
        <v>3000</v>
      </c>
      <c r="H127" s="207">
        <f t="shared" si="60"/>
        <v>3100</v>
      </c>
      <c r="I127" s="207">
        <f t="shared" si="60"/>
        <v>3000</v>
      </c>
      <c r="J127" s="207">
        <f t="shared" ref="J127:O127" si="63">J125*J126</f>
        <v>3100</v>
      </c>
      <c r="K127" s="207">
        <f t="shared" si="63"/>
        <v>3100</v>
      </c>
      <c r="L127" s="207">
        <f t="shared" si="63"/>
        <v>3000</v>
      </c>
      <c r="M127" s="207">
        <f t="shared" si="63"/>
        <v>3100</v>
      </c>
      <c r="N127" s="207">
        <f t="shared" si="63"/>
        <v>3000</v>
      </c>
      <c r="O127" s="207">
        <f t="shared" si="63"/>
        <v>3100</v>
      </c>
      <c r="P127" s="207">
        <f>SUM(D127:O127)</f>
        <v>36500</v>
      </c>
      <c r="Q127" s="104">
        <f>Budget!P10</f>
        <v>36500</v>
      </c>
      <c r="R127" s="207">
        <f t="shared" si="61"/>
        <v>0</v>
      </c>
      <c r="S127" s="55">
        <f>IF(Q127=0,"n.a.",R127/ABS(Q127))</f>
        <v>0</v>
      </c>
    </row>
    <row r="128" spans="3:19" hidden="1" outlineLevel="1">
      <c r="C128" s="1" t="s">
        <v>175</v>
      </c>
      <c r="D128" s="207">
        <f t="shared" si="60"/>
        <v>1658</v>
      </c>
      <c r="E128" s="207">
        <f t="shared" si="60"/>
        <v>1604</v>
      </c>
      <c r="F128" s="207">
        <f t="shared" si="60"/>
        <v>1922</v>
      </c>
      <c r="G128" s="207">
        <f t="shared" si="60"/>
        <v>1950</v>
      </c>
      <c r="H128" s="207">
        <f t="shared" si="60"/>
        <v>2139</v>
      </c>
      <c r="I128" s="207">
        <f t="shared" si="60"/>
        <v>2265</v>
      </c>
      <c r="J128" s="104">
        <f>Assumptions!F77</f>
        <v>2450</v>
      </c>
      <c r="K128" s="104">
        <f>Assumptions!G77</f>
        <v>2391</v>
      </c>
      <c r="L128" s="104">
        <f>Assumptions!H77</f>
        <v>2039</v>
      </c>
      <c r="M128" s="104">
        <f>Assumptions!I77</f>
        <v>2060</v>
      </c>
      <c r="N128" s="104">
        <f>Assumptions!J77</f>
        <v>1721</v>
      </c>
      <c r="O128" s="104">
        <f>Assumptions!K77</f>
        <v>1720</v>
      </c>
      <c r="P128" s="207">
        <f>SUM(D128:O128)</f>
        <v>23919</v>
      </c>
      <c r="Q128" s="104">
        <f>Budget!P11</f>
        <v>25274</v>
      </c>
      <c r="R128" s="207">
        <f t="shared" si="61"/>
        <v>-1355</v>
      </c>
      <c r="S128" s="55">
        <f>IF(Q128=0,"n.a.",R128/ABS(Q128))</f>
        <v>-5.3612408008229799E-2</v>
      </c>
    </row>
    <row r="129" spans="3:19" hidden="1" outlineLevel="1">
      <c r="C129" s="199" t="s">
        <v>225</v>
      </c>
      <c r="D129" s="62">
        <f t="shared" si="60"/>
        <v>0.53483870967741931</v>
      </c>
      <c r="E129" s="62">
        <f t="shared" si="60"/>
        <v>0.57285714285714284</v>
      </c>
      <c r="F129" s="62">
        <f t="shared" si="60"/>
        <v>0.62</v>
      </c>
      <c r="G129" s="62">
        <f t="shared" si="60"/>
        <v>0.65</v>
      </c>
      <c r="H129" s="62">
        <f t="shared" si="60"/>
        <v>0.69</v>
      </c>
      <c r="I129" s="62">
        <f t="shared" si="60"/>
        <v>0.755</v>
      </c>
      <c r="J129" s="62">
        <f t="shared" ref="J129:P129" si="64">J128/J127</f>
        <v>0.79032258064516125</v>
      </c>
      <c r="K129" s="62">
        <f t="shared" si="64"/>
        <v>0.77129032258064512</v>
      </c>
      <c r="L129" s="62">
        <f t="shared" si="64"/>
        <v>0.67966666666666664</v>
      </c>
      <c r="M129" s="62">
        <f t="shared" si="64"/>
        <v>0.6645161290322581</v>
      </c>
      <c r="N129" s="62">
        <f t="shared" si="64"/>
        <v>0.57366666666666666</v>
      </c>
      <c r="O129" s="62">
        <f t="shared" si="64"/>
        <v>0.55483870967741933</v>
      </c>
      <c r="P129" s="62">
        <f t="shared" si="64"/>
        <v>0.65531506849315069</v>
      </c>
      <c r="Q129" s="69">
        <f>Budget!P12</f>
        <v>0.69243835616438354</v>
      </c>
      <c r="R129" s="62">
        <f t="shared" si="61"/>
        <v>-3.7123287671232852E-2</v>
      </c>
      <c r="S129" s="62">
        <f>R129</f>
        <v>-3.7123287671232852E-2</v>
      </c>
    </row>
    <row r="130" spans="3:19" hidden="1" outlineLevel="1">
      <c r="C130" s="199" t="s">
        <v>178</v>
      </c>
      <c r="D130" s="62">
        <f t="shared" si="60"/>
        <v>0.3100120627261761</v>
      </c>
      <c r="E130" s="62">
        <f t="shared" si="60"/>
        <v>0.32980049875311723</v>
      </c>
      <c r="F130" s="62">
        <f t="shared" si="60"/>
        <v>0.37981269510926119</v>
      </c>
      <c r="G130" s="62">
        <f t="shared" si="60"/>
        <v>0.43025641025641026</v>
      </c>
      <c r="H130" s="62">
        <f t="shared" si="60"/>
        <v>0.45021037868162694</v>
      </c>
      <c r="I130" s="62">
        <f t="shared" si="60"/>
        <v>0.41986754966887418</v>
      </c>
      <c r="J130" s="69">
        <f>Assumptions!F78</f>
        <v>0.39500000000000002</v>
      </c>
      <c r="K130" s="69">
        <f>Assumptions!G78</f>
        <v>0.40500000000000003</v>
      </c>
      <c r="L130" s="69">
        <f>Assumptions!H78</f>
        <v>0.41499999999999998</v>
      </c>
      <c r="M130" s="69">
        <f>Assumptions!I78</f>
        <v>0.39</v>
      </c>
      <c r="N130" s="69">
        <f>Assumptions!J78</f>
        <v>0.34499999999999997</v>
      </c>
      <c r="O130" s="69">
        <f>Assumptions!K78</f>
        <v>0.32</v>
      </c>
      <c r="P130" s="62">
        <f>P132/P128</f>
        <v>0.38696580124587143</v>
      </c>
      <c r="Q130" s="69">
        <f>Budget!P13</f>
        <v>0.35292395346996919</v>
      </c>
      <c r="R130" s="62">
        <f t="shared" si="61"/>
        <v>3.4041847775902245E-2</v>
      </c>
      <c r="S130" s="62">
        <f>R130</f>
        <v>3.4041847775902245E-2</v>
      </c>
    </row>
    <row r="131" spans="3:19" hidden="1" outlineLevel="1">
      <c r="C131" s="1" t="s">
        <v>226</v>
      </c>
      <c r="D131" s="208">
        <f t="shared" si="60"/>
        <v>1144</v>
      </c>
      <c r="E131" s="208">
        <f t="shared" si="60"/>
        <v>1075</v>
      </c>
      <c r="F131" s="208">
        <f t="shared" si="60"/>
        <v>1192</v>
      </c>
      <c r="G131" s="208">
        <f t="shared" si="60"/>
        <v>1111</v>
      </c>
      <c r="H131" s="208">
        <f t="shared" si="60"/>
        <v>1176</v>
      </c>
      <c r="I131" s="208">
        <f t="shared" si="60"/>
        <v>1314</v>
      </c>
      <c r="J131" s="208">
        <f t="shared" ref="J131:O131" si="65">J128-J132</f>
        <v>1482.25</v>
      </c>
      <c r="K131" s="208">
        <f t="shared" si="65"/>
        <v>1422.645</v>
      </c>
      <c r="L131" s="208">
        <f t="shared" si="65"/>
        <v>1192.8150000000001</v>
      </c>
      <c r="M131" s="208">
        <f t="shared" si="65"/>
        <v>1256.5999999999999</v>
      </c>
      <c r="N131" s="208">
        <f t="shared" si="65"/>
        <v>1127.2550000000001</v>
      </c>
      <c r="O131" s="208">
        <f t="shared" si="65"/>
        <v>1169.5999999999999</v>
      </c>
      <c r="P131" s="208">
        <f>SUM(D131:O131)</f>
        <v>14663.165000000003</v>
      </c>
      <c r="Q131" s="105">
        <f>Budget!P14</f>
        <v>16354.199999999999</v>
      </c>
      <c r="R131" s="208">
        <f t="shared" si="61"/>
        <v>-1691.0349999999962</v>
      </c>
      <c r="S131" s="55">
        <f>IF(Q131=0,"n.a.",R131/ABS(Q131))</f>
        <v>-0.10340065548910961</v>
      </c>
    </row>
    <row r="132" spans="3:19" hidden="1" outlineLevel="1">
      <c r="C132" s="1" t="s">
        <v>227</v>
      </c>
      <c r="D132" s="208">
        <f t="shared" si="60"/>
        <v>514</v>
      </c>
      <c r="E132" s="208">
        <f t="shared" si="60"/>
        <v>529</v>
      </c>
      <c r="F132" s="208">
        <f t="shared" si="60"/>
        <v>730</v>
      </c>
      <c r="G132" s="208">
        <f t="shared" si="60"/>
        <v>839</v>
      </c>
      <c r="H132" s="208">
        <f t="shared" si="60"/>
        <v>963</v>
      </c>
      <c r="I132" s="208">
        <f t="shared" si="60"/>
        <v>951</v>
      </c>
      <c r="J132" s="208">
        <f t="shared" ref="J132:O132" si="66">J128*J130</f>
        <v>967.75</v>
      </c>
      <c r="K132" s="208">
        <f t="shared" si="66"/>
        <v>968.35500000000002</v>
      </c>
      <c r="L132" s="208">
        <f t="shared" si="66"/>
        <v>846.18499999999995</v>
      </c>
      <c r="M132" s="208">
        <f t="shared" si="66"/>
        <v>803.4</v>
      </c>
      <c r="N132" s="208">
        <f t="shared" si="66"/>
        <v>593.745</v>
      </c>
      <c r="O132" s="208">
        <f t="shared" si="66"/>
        <v>550.4</v>
      </c>
      <c r="P132" s="208">
        <f>SUM(D132:O132)</f>
        <v>9255.8349999999991</v>
      </c>
      <c r="Q132" s="105">
        <f>Budget!P15</f>
        <v>8919.8000000000011</v>
      </c>
      <c r="R132" s="208">
        <f t="shared" si="61"/>
        <v>336.03499999999804</v>
      </c>
      <c r="S132" s="55">
        <f>IF(Q132=0,"n.a.",R132/ABS(Q132))</f>
        <v>3.7672929886320095E-2</v>
      </c>
    </row>
    <row r="133" spans="3:19" hidden="1" outlineLevel="1">
      <c r="C133" s="1" t="s">
        <v>180</v>
      </c>
      <c r="D133" s="209">
        <f t="shared" si="60"/>
        <v>151</v>
      </c>
      <c r="E133" s="209">
        <f t="shared" si="60"/>
        <v>153</v>
      </c>
      <c r="F133" s="209">
        <f t="shared" si="60"/>
        <v>158.5</v>
      </c>
      <c r="G133" s="209">
        <f t="shared" si="60"/>
        <v>164</v>
      </c>
      <c r="H133" s="209">
        <f t="shared" si="60"/>
        <v>171</v>
      </c>
      <c r="I133" s="209">
        <f t="shared" si="60"/>
        <v>181</v>
      </c>
      <c r="J133" s="218">
        <f>Assumptions!F79</f>
        <v>184.24</v>
      </c>
      <c r="K133" s="218">
        <f>Assumptions!G79</f>
        <v>181.3</v>
      </c>
      <c r="L133" s="218">
        <f>Assumptions!H79</f>
        <v>171.5</v>
      </c>
      <c r="M133" s="218">
        <f>Assumptions!I79</f>
        <v>166.6</v>
      </c>
      <c r="N133" s="218">
        <f>Assumptions!J79</f>
        <v>154.84</v>
      </c>
      <c r="O133" s="218">
        <f>Assumptions!K79</f>
        <v>158.76</v>
      </c>
      <c r="P133" s="209">
        <f>P137/P131</f>
        <v>167.25225905866841</v>
      </c>
      <c r="Q133" s="218">
        <f>Budget!P16</f>
        <v>168.99758471829867</v>
      </c>
      <c r="R133" s="209">
        <f t="shared" si="61"/>
        <v>-1.7453256596302538</v>
      </c>
      <c r="S133" s="55">
        <f>IF(Q133=0,"n.a.",R133/ABS(Q133))</f>
        <v>-1.0327518363883894E-2</v>
      </c>
    </row>
    <row r="134" spans="3:19" hidden="1" outlineLevel="1">
      <c r="C134" s="1" t="s">
        <v>181</v>
      </c>
      <c r="D134" s="209">
        <f t="shared" si="60"/>
        <v>132.5</v>
      </c>
      <c r="E134" s="209">
        <f t="shared" si="60"/>
        <v>133</v>
      </c>
      <c r="F134" s="209">
        <f t="shared" si="60"/>
        <v>137.5</v>
      </c>
      <c r="G134" s="209">
        <f t="shared" si="60"/>
        <v>140.5</v>
      </c>
      <c r="H134" s="209">
        <f t="shared" si="60"/>
        <v>145</v>
      </c>
      <c r="I134" s="209">
        <f t="shared" si="60"/>
        <v>148.5</v>
      </c>
      <c r="J134" s="218">
        <f>Assumptions!F80</f>
        <v>151.97</v>
      </c>
      <c r="K134" s="218">
        <f>Assumptions!G80</f>
        <v>149.99</v>
      </c>
      <c r="L134" s="218">
        <f>Assumptions!H80</f>
        <v>145.04</v>
      </c>
      <c r="M134" s="218">
        <f>Assumptions!I80</f>
        <v>143.06</v>
      </c>
      <c r="N134" s="218">
        <f>Assumptions!J80</f>
        <v>137.12</v>
      </c>
      <c r="O134" s="218">
        <f>Assumptions!K80</f>
        <v>139.1</v>
      </c>
      <c r="P134" s="209">
        <f>P138/P132</f>
        <v>143.20993889260129</v>
      </c>
      <c r="Q134" s="218">
        <f>Budget!P17</f>
        <v>143.62444000986568</v>
      </c>
      <c r="R134" s="209">
        <f t="shared" si="61"/>
        <v>-0.41450111726439332</v>
      </c>
      <c r="S134" s="55">
        <f>IF(Q134=0,"n.a.",R134/ABS(Q134))</f>
        <v>-2.8860068469956845E-3</v>
      </c>
    </row>
    <row r="135" spans="3:19" hidden="1" outlineLevel="1"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11"/>
      <c r="R135" s="2"/>
      <c r="S135" s="55"/>
    </row>
    <row r="136" spans="3:19" ht="13.9" hidden="1" outlineLevel="1">
      <c r="C136" s="175" t="s">
        <v>228</v>
      </c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219"/>
      <c r="R136" s="176"/>
      <c r="S136" s="210"/>
    </row>
    <row r="137" spans="3:19" hidden="1" outlineLevel="1">
      <c r="C137" s="1" t="s">
        <v>229</v>
      </c>
      <c r="D137" s="209">
        <f t="shared" ref="D137:I141" si="67">D41</f>
        <v>172744</v>
      </c>
      <c r="E137" s="209">
        <f t="shared" si="67"/>
        <v>164475</v>
      </c>
      <c r="F137" s="209">
        <f t="shared" si="67"/>
        <v>188932</v>
      </c>
      <c r="G137" s="209">
        <f t="shared" si="67"/>
        <v>182204</v>
      </c>
      <c r="H137" s="209">
        <f t="shared" si="67"/>
        <v>201096</v>
      </c>
      <c r="I137" s="209">
        <f t="shared" si="67"/>
        <v>237834</v>
      </c>
      <c r="J137" s="209">
        <f t="shared" ref="J137:O138" si="68">J131*J133</f>
        <v>273089.74</v>
      </c>
      <c r="K137" s="209">
        <f t="shared" si="68"/>
        <v>257925.53850000002</v>
      </c>
      <c r="L137" s="209">
        <f t="shared" si="68"/>
        <v>204567.77250000002</v>
      </c>
      <c r="M137" s="209">
        <f t="shared" si="68"/>
        <v>209349.55999999997</v>
      </c>
      <c r="N137" s="209">
        <f t="shared" si="68"/>
        <v>174544.16420000003</v>
      </c>
      <c r="O137" s="209">
        <f t="shared" si="68"/>
        <v>185685.69599999997</v>
      </c>
      <c r="P137" s="209">
        <f>SUM(D137:O137)</f>
        <v>2452447.4712</v>
      </c>
      <c r="Q137" s="218">
        <f>Budget!P21</f>
        <v>2763820.3</v>
      </c>
      <c r="R137" s="209">
        <f>P137-Q137</f>
        <v>-311372.82879999978</v>
      </c>
      <c r="S137" s="55">
        <f>IF(Q137=0,"n.a.",R137/ABS(Q137))</f>
        <v>-0.11266030168459208</v>
      </c>
    </row>
    <row r="138" spans="3:19" hidden="1" outlineLevel="1">
      <c r="C138" s="1" t="s">
        <v>230</v>
      </c>
      <c r="D138" s="209">
        <f t="shared" si="67"/>
        <v>68105</v>
      </c>
      <c r="E138" s="209">
        <f t="shared" si="67"/>
        <v>70357</v>
      </c>
      <c r="F138" s="209">
        <f t="shared" si="67"/>
        <v>100375</v>
      </c>
      <c r="G138" s="209">
        <f t="shared" si="67"/>
        <v>117879.5</v>
      </c>
      <c r="H138" s="209">
        <f t="shared" si="67"/>
        <v>139635</v>
      </c>
      <c r="I138" s="209">
        <f t="shared" si="67"/>
        <v>141223.5</v>
      </c>
      <c r="J138" s="209">
        <f t="shared" si="68"/>
        <v>147068.9675</v>
      </c>
      <c r="K138" s="209">
        <f t="shared" si="68"/>
        <v>145243.56645000001</v>
      </c>
      <c r="L138" s="209">
        <f t="shared" si="68"/>
        <v>122730.67239999998</v>
      </c>
      <c r="M138" s="209">
        <f t="shared" si="68"/>
        <v>114934.40399999999</v>
      </c>
      <c r="N138" s="209">
        <f t="shared" si="68"/>
        <v>81414.314400000003</v>
      </c>
      <c r="O138" s="209">
        <f t="shared" si="68"/>
        <v>76560.639999999999</v>
      </c>
      <c r="P138" s="209">
        <f>SUM(D138:O138)</f>
        <v>1325527.5647500001</v>
      </c>
      <c r="Q138" s="218">
        <f>Budget!P22</f>
        <v>1281101.28</v>
      </c>
      <c r="R138" s="209">
        <f>P138-Q138</f>
        <v>44426.284750000108</v>
      </c>
      <c r="S138" s="55">
        <f>IF(Q138=0,"n.a.",R138/ABS(Q138))</f>
        <v>3.4678198705726145E-2</v>
      </c>
    </row>
    <row r="139" spans="3:19" ht="13.9" hidden="1" outlineLevel="1">
      <c r="C139" s="200" t="s">
        <v>231</v>
      </c>
      <c r="D139" s="211">
        <f t="shared" si="67"/>
        <v>240849</v>
      </c>
      <c r="E139" s="211">
        <f t="shared" si="67"/>
        <v>234832</v>
      </c>
      <c r="F139" s="211">
        <f t="shared" si="67"/>
        <v>289307</v>
      </c>
      <c r="G139" s="211">
        <f t="shared" si="67"/>
        <v>300083.5</v>
      </c>
      <c r="H139" s="211">
        <f t="shared" si="67"/>
        <v>340731</v>
      </c>
      <c r="I139" s="211">
        <f t="shared" si="67"/>
        <v>379057.5</v>
      </c>
      <c r="J139" s="211">
        <f t="shared" ref="J139:O139" si="69">SUM(J137:J138)</f>
        <v>420158.70750000002</v>
      </c>
      <c r="K139" s="211">
        <f t="shared" si="69"/>
        <v>403169.10495000007</v>
      </c>
      <c r="L139" s="211">
        <f t="shared" si="69"/>
        <v>327298.4449</v>
      </c>
      <c r="M139" s="211">
        <f t="shared" si="69"/>
        <v>324283.96399999998</v>
      </c>
      <c r="N139" s="211">
        <f t="shared" si="69"/>
        <v>255958.47860000003</v>
      </c>
      <c r="O139" s="211">
        <f t="shared" si="69"/>
        <v>262246.33599999995</v>
      </c>
      <c r="P139" s="211">
        <f>SUM(D139:O139)</f>
        <v>3777975.0359500004</v>
      </c>
      <c r="Q139" s="220">
        <f>Budget!P23</f>
        <v>4044921.5799999996</v>
      </c>
      <c r="R139" s="211">
        <f>P139-Q139</f>
        <v>-266946.54404999921</v>
      </c>
      <c r="S139" s="212">
        <f>IF(Q139=0,"n.a.",R139/ABS(Q139))</f>
        <v>-6.5995480696068087E-2</v>
      </c>
    </row>
    <row r="140" spans="3:19" hidden="1" outlineLevel="1">
      <c r="C140" s="199" t="s">
        <v>232</v>
      </c>
      <c r="D140" s="213">
        <f t="shared" si="67"/>
        <v>145.26477683956574</v>
      </c>
      <c r="E140" s="213">
        <f t="shared" si="67"/>
        <v>146.40399002493766</v>
      </c>
      <c r="F140" s="213">
        <f t="shared" si="67"/>
        <v>150.52393340270552</v>
      </c>
      <c r="G140" s="213">
        <f t="shared" si="67"/>
        <v>153.88897435897437</v>
      </c>
      <c r="H140" s="213">
        <f t="shared" si="67"/>
        <v>159.29453015427771</v>
      </c>
      <c r="I140" s="213">
        <f t="shared" si="67"/>
        <v>167.35430463576159</v>
      </c>
      <c r="J140" s="213">
        <f t="shared" ref="J140:P140" si="70">J139/J128</f>
        <v>171.49335000000002</v>
      </c>
      <c r="K140" s="213">
        <f t="shared" si="70"/>
        <v>168.61945000000003</v>
      </c>
      <c r="L140" s="213">
        <f t="shared" si="70"/>
        <v>160.51910000000001</v>
      </c>
      <c r="M140" s="213">
        <f t="shared" si="70"/>
        <v>157.4194</v>
      </c>
      <c r="N140" s="213">
        <f t="shared" si="70"/>
        <v>148.72660000000002</v>
      </c>
      <c r="O140" s="213">
        <f t="shared" si="70"/>
        <v>152.46879999999996</v>
      </c>
      <c r="P140" s="213">
        <f t="shared" si="70"/>
        <v>157.94870337179648</v>
      </c>
      <c r="Q140" s="221">
        <f>Budget!P24</f>
        <v>160.04279417583285</v>
      </c>
      <c r="R140" s="213">
        <f>P140-Q140</f>
        <v>-2.0940908040363695</v>
      </c>
      <c r="S140" s="62">
        <f>IF(Q140=0,"n.a.",R140/ABS(Q140))</f>
        <v>-1.3084567879611453E-2</v>
      </c>
    </row>
    <row r="141" spans="3:19" hidden="1" outlineLevel="1">
      <c r="C141" s="199" t="s">
        <v>233</v>
      </c>
      <c r="D141" s="213">
        <f t="shared" si="67"/>
        <v>77.693225806451608</v>
      </c>
      <c r="E141" s="213">
        <f t="shared" si="67"/>
        <v>83.868571428571428</v>
      </c>
      <c r="F141" s="213">
        <f t="shared" si="67"/>
        <v>93.324838709677422</v>
      </c>
      <c r="G141" s="213">
        <f t="shared" si="67"/>
        <v>100.02783333333333</v>
      </c>
      <c r="H141" s="213">
        <f t="shared" si="67"/>
        <v>109.91322580645161</v>
      </c>
      <c r="I141" s="213">
        <f t="shared" si="67"/>
        <v>126.35250000000001</v>
      </c>
      <c r="J141" s="213">
        <f t="shared" ref="J141:P141" si="71">J139/J127</f>
        <v>135.53506693548388</v>
      </c>
      <c r="K141" s="213">
        <f t="shared" si="71"/>
        <v>130.054549983871</v>
      </c>
      <c r="L141" s="213">
        <f t="shared" si="71"/>
        <v>109.09948163333334</v>
      </c>
      <c r="M141" s="213">
        <f t="shared" si="71"/>
        <v>104.60773032258064</v>
      </c>
      <c r="N141" s="213">
        <f t="shared" si="71"/>
        <v>85.319492866666678</v>
      </c>
      <c r="O141" s="213">
        <f t="shared" si="71"/>
        <v>84.595592258064499</v>
      </c>
      <c r="P141" s="213">
        <f t="shared" si="71"/>
        <v>103.50616536849316</v>
      </c>
      <c r="Q141" s="221">
        <f>Budget!P25</f>
        <v>110.81976931506848</v>
      </c>
      <c r="R141" s="213">
        <f>P141-Q141</f>
        <v>-7.3136039465753271</v>
      </c>
      <c r="S141" s="62">
        <f>IF(Q141=0,"n.a.",R141/ABS(Q141))</f>
        <v>-6.5995480696068143E-2</v>
      </c>
    </row>
    <row r="142" spans="3:19" hidden="1" outlineLevel="1"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11"/>
      <c r="R142" s="2"/>
      <c r="S142" s="55"/>
    </row>
    <row r="143" spans="3:19" ht="13.9" hidden="1" outlineLevel="1">
      <c r="C143" s="175" t="s">
        <v>234</v>
      </c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219"/>
      <c r="R143" s="176"/>
      <c r="S143" s="210"/>
    </row>
    <row r="144" spans="3:19" hidden="1" outlineLevel="1">
      <c r="C144" s="199" t="s">
        <v>183</v>
      </c>
      <c r="D144" s="64">
        <f t="shared" ref="D144:I151" si="72">D48</f>
        <v>0.56999999999999995</v>
      </c>
      <c r="E144" s="64">
        <f t="shared" si="72"/>
        <v>0.55000000000000004</v>
      </c>
      <c r="F144" s="64">
        <f t="shared" si="72"/>
        <v>0.55999999999999994</v>
      </c>
      <c r="G144" s="64">
        <f t="shared" si="72"/>
        <v>0.62</v>
      </c>
      <c r="H144" s="64">
        <f t="shared" si="72"/>
        <v>0.60000000000000009</v>
      </c>
      <c r="I144" s="64">
        <f t="shared" si="72"/>
        <v>0.56000000000000005</v>
      </c>
      <c r="J144" s="71">
        <f>Assumptions!F81</f>
        <v>0.56999999999999995</v>
      </c>
      <c r="K144" s="71">
        <f>Assumptions!G81</f>
        <v>0.56000000000000005</v>
      </c>
      <c r="L144" s="71">
        <f>Assumptions!H81</f>
        <v>0.55000000000000004</v>
      </c>
      <c r="M144" s="71">
        <f>Assumptions!I81</f>
        <v>0.54</v>
      </c>
      <c r="N144" s="71">
        <f>Assumptions!J81</f>
        <v>0.56000000000000005</v>
      </c>
      <c r="O144" s="71">
        <f>Assumptions!K81</f>
        <v>0.56999999999999995</v>
      </c>
      <c r="P144" s="64">
        <f>P146/P128</f>
        <v>0.56765960115389436</v>
      </c>
      <c r="Q144" s="71">
        <f>Budget!P29</f>
        <v>0.52799121626968426</v>
      </c>
      <c r="R144" s="64">
        <f t="shared" ref="R144:R151" si="73">P144-Q144</f>
        <v>3.9668384884210095E-2</v>
      </c>
      <c r="S144" s="62">
        <f t="shared" ref="S144:S149" si="74">IF(Q144=0,"n.a.",R144/ABS(Q144))</f>
        <v>7.5130766690536213E-2</v>
      </c>
    </row>
    <row r="145" spans="3:19" hidden="1" outlineLevel="1">
      <c r="C145" s="199" t="s">
        <v>278</v>
      </c>
      <c r="D145" s="213">
        <f t="shared" si="72"/>
        <v>21.899995767464503</v>
      </c>
      <c r="E145" s="213">
        <f t="shared" si="72"/>
        <v>22</v>
      </c>
      <c r="F145" s="213">
        <f t="shared" si="72"/>
        <v>22.09999814181656</v>
      </c>
      <c r="G145" s="213">
        <f t="shared" si="72"/>
        <v>23.25</v>
      </c>
      <c r="H145" s="213">
        <f t="shared" si="72"/>
        <v>23.249999999999996</v>
      </c>
      <c r="I145" s="213">
        <f t="shared" si="72"/>
        <v>23.249999999999996</v>
      </c>
      <c r="J145" s="221">
        <f>Assumptions!F47</f>
        <v>23.25</v>
      </c>
      <c r="K145" s="221">
        <f>Assumptions!G47</f>
        <v>23.25</v>
      </c>
      <c r="L145" s="221">
        <f>Assumptions!H47</f>
        <v>23.25</v>
      </c>
      <c r="M145" s="221">
        <f>Assumptions!I47</f>
        <v>23.25</v>
      </c>
      <c r="N145" s="221">
        <f>Assumptions!J47</f>
        <v>23.25</v>
      </c>
      <c r="O145" s="221">
        <f>Assumptions!K47</f>
        <v>23.25</v>
      </c>
      <c r="P145" s="213">
        <f>P147/P146</f>
        <v>22.983657758776239</v>
      </c>
      <c r="Q145" s="221">
        <f>Budget!P30</f>
        <v>22.388311432842873</v>
      </c>
      <c r="R145" s="213">
        <f t="shared" si="73"/>
        <v>0.59534632593336667</v>
      </c>
      <c r="S145" s="62">
        <f t="shared" si="74"/>
        <v>2.6591836893067978E-2</v>
      </c>
    </row>
    <row r="146" spans="3:19" hidden="1" outlineLevel="1">
      <c r="C146" s="1" t="s">
        <v>236</v>
      </c>
      <c r="D146" s="208">
        <f t="shared" si="72"/>
        <v>945.06</v>
      </c>
      <c r="E146" s="208">
        <f t="shared" si="72"/>
        <v>882.2</v>
      </c>
      <c r="F146" s="208">
        <f t="shared" si="72"/>
        <v>1076.32</v>
      </c>
      <c r="G146" s="208">
        <f t="shared" si="72"/>
        <v>1209</v>
      </c>
      <c r="H146" s="208">
        <f t="shared" si="72"/>
        <v>1283.4000000000001</v>
      </c>
      <c r="I146" s="208">
        <f t="shared" si="72"/>
        <v>1268.4000000000001</v>
      </c>
      <c r="J146" s="208">
        <f t="shared" ref="J146:O146" si="75">J128*J144</f>
        <v>1396.4999999999998</v>
      </c>
      <c r="K146" s="208">
        <f t="shared" si="75"/>
        <v>1338.96</v>
      </c>
      <c r="L146" s="208">
        <f t="shared" si="75"/>
        <v>1121.45</v>
      </c>
      <c r="M146" s="208">
        <f t="shared" si="75"/>
        <v>1112.4000000000001</v>
      </c>
      <c r="N146" s="208">
        <f t="shared" si="75"/>
        <v>963.7600000000001</v>
      </c>
      <c r="O146" s="208">
        <f t="shared" si="75"/>
        <v>980.39999999999986</v>
      </c>
      <c r="P146" s="208">
        <f>SUM(D146:O146)</f>
        <v>13577.85</v>
      </c>
      <c r="Q146" s="105">
        <f>Budget!P31</f>
        <v>13344.45</v>
      </c>
      <c r="R146" s="208">
        <f t="shared" si="73"/>
        <v>233.39999999999964</v>
      </c>
      <c r="S146" s="55">
        <f t="shared" si="74"/>
        <v>1.7490417364522302E-2</v>
      </c>
    </row>
    <row r="147" spans="3:19" hidden="1" outlineLevel="1">
      <c r="C147" s="1" t="s">
        <v>237</v>
      </c>
      <c r="D147" s="209">
        <f t="shared" si="72"/>
        <v>20696.810000000001</v>
      </c>
      <c r="E147" s="209">
        <f t="shared" si="72"/>
        <v>19408.400000000001</v>
      </c>
      <c r="F147" s="209">
        <f t="shared" si="72"/>
        <v>23786.67</v>
      </c>
      <c r="G147" s="209">
        <f t="shared" si="72"/>
        <v>28109.25</v>
      </c>
      <c r="H147" s="209">
        <f t="shared" si="72"/>
        <v>29839.05</v>
      </c>
      <c r="I147" s="209">
        <f t="shared" si="72"/>
        <v>29490.3</v>
      </c>
      <c r="J147" s="209">
        <f t="shared" ref="J147:O147" si="76">J146*J145</f>
        <v>32468.624999999996</v>
      </c>
      <c r="K147" s="209">
        <f t="shared" si="76"/>
        <v>31130.82</v>
      </c>
      <c r="L147" s="209">
        <f t="shared" si="76"/>
        <v>26073.712500000001</v>
      </c>
      <c r="M147" s="209">
        <f t="shared" si="76"/>
        <v>25863.300000000003</v>
      </c>
      <c r="N147" s="209">
        <f t="shared" si="76"/>
        <v>22407.420000000002</v>
      </c>
      <c r="O147" s="209">
        <f t="shared" si="76"/>
        <v>22794.299999999996</v>
      </c>
      <c r="P147" s="209">
        <f>SUM(D147:O147)</f>
        <v>312068.65749999997</v>
      </c>
      <c r="Q147" s="218">
        <f>Budget!P32</f>
        <v>298759.70250000007</v>
      </c>
      <c r="R147" s="209">
        <f t="shared" si="73"/>
        <v>13308.9549999999</v>
      </c>
      <c r="S147" s="55">
        <f t="shared" si="74"/>
        <v>4.4547356583339401E-2</v>
      </c>
    </row>
    <row r="148" spans="3:19" hidden="1" outlineLevel="1">
      <c r="C148" s="199" t="s">
        <v>186</v>
      </c>
      <c r="D148" s="213">
        <f t="shared" si="72"/>
        <v>18.599999999999998</v>
      </c>
      <c r="E148" s="213">
        <f t="shared" si="72"/>
        <v>18.5</v>
      </c>
      <c r="F148" s="213">
        <f t="shared" si="72"/>
        <v>19.099999999999998</v>
      </c>
      <c r="G148" s="213">
        <f t="shared" si="72"/>
        <v>19.399999999999999</v>
      </c>
      <c r="H148" s="213">
        <f t="shared" si="72"/>
        <v>19.799999999999997</v>
      </c>
      <c r="I148" s="213">
        <f t="shared" si="72"/>
        <v>20.100000000000001</v>
      </c>
      <c r="J148" s="221">
        <f>Assumptions!F48</f>
        <v>20</v>
      </c>
      <c r="K148" s="221">
        <f>Assumptions!G48</f>
        <v>20</v>
      </c>
      <c r="L148" s="221">
        <f>Assumptions!H48</f>
        <v>19.8</v>
      </c>
      <c r="M148" s="221">
        <f>Assumptions!I48</f>
        <v>19.5</v>
      </c>
      <c r="N148" s="221">
        <f>Assumptions!J48</f>
        <v>19</v>
      </c>
      <c r="O148" s="221">
        <f>Assumptions!K48</f>
        <v>19.2</v>
      </c>
      <c r="P148" s="213">
        <f>P149/P128</f>
        <v>19.483126384882311</v>
      </c>
      <c r="Q148" s="221">
        <f>Budget!P33</f>
        <v>19.414006488881853</v>
      </c>
      <c r="R148" s="213">
        <f t="shared" si="73"/>
        <v>6.9119896000458425E-2</v>
      </c>
      <c r="S148" s="62">
        <f t="shared" si="74"/>
        <v>3.5603107498723917E-3</v>
      </c>
    </row>
    <row r="149" spans="3:19" hidden="1" outlineLevel="1">
      <c r="C149" s="1" t="s">
        <v>238</v>
      </c>
      <c r="D149" s="209">
        <f t="shared" si="72"/>
        <v>30838.799999999999</v>
      </c>
      <c r="E149" s="209">
        <f t="shared" si="72"/>
        <v>29674</v>
      </c>
      <c r="F149" s="209">
        <f t="shared" si="72"/>
        <v>36710.199999999997</v>
      </c>
      <c r="G149" s="209">
        <f t="shared" si="72"/>
        <v>37830</v>
      </c>
      <c r="H149" s="209">
        <f t="shared" si="72"/>
        <v>42352.2</v>
      </c>
      <c r="I149" s="209">
        <f t="shared" si="72"/>
        <v>45526.5</v>
      </c>
      <c r="J149" s="209">
        <f t="shared" ref="J149:O149" si="77">J128*J148</f>
        <v>49000</v>
      </c>
      <c r="K149" s="209">
        <f t="shared" si="77"/>
        <v>47820</v>
      </c>
      <c r="L149" s="209">
        <f t="shared" si="77"/>
        <v>40372.200000000004</v>
      </c>
      <c r="M149" s="209">
        <f t="shared" si="77"/>
        <v>40170</v>
      </c>
      <c r="N149" s="209">
        <f t="shared" si="77"/>
        <v>32699</v>
      </c>
      <c r="O149" s="209">
        <f t="shared" si="77"/>
        <v>33024</v>
      </c>
      <c r="P149" s="209">
        <f>SUM(D149:O149)</f>
        <v>466016.9</v>
      </c>
      <c r="Q149" s="218">
        <f>Budget!P34</f>
        <v>490669.6</v>
      </c>
      <c r="R149" s="209">
        <f t="shared" si="73"/>
        <v>-24652.699999999953</v>
      </c>
      <c r="S149" s="55">
        <f t="shared" si="74"/>
        <v>-5.0242974090915667E-2</v>
      </c>
    </row>
    <row r="150" spans="3:19" hidden="1" outlineLevel="1">
      <c r="C150" s="199" t="s">
        <v>187</v>
      </c>
      <c r="D150" s="62">
        <f t="shared" si="72"/>
        <v>3.9999999999999994E-2</v>
      </c>
      <c r="E150" s="62">
        <f t="shared" si="72"/>
        <v>0.04</v>
      </c>
      <c r="F150" s="62">
        <f t="shared" si="72"/>
        <v>0.04</v>
      </c>
      <c r="G150" s="62">
        <f t="shared" si="72"/>
        <v>0.04</v>
      </c>
      <c r="H150" s="62">
        <f t="shared" si="72"/>
        <v>0.04</v>
      </c>
      <c r="I150" s="62">
        <f t="shared" si="72"/>
        <v>0.04</v>
      </c>
      <c r="J150" s="69">
        <f>Assumptions!F49</f>
        <v>0.04</v>
      </c>
      <c r="K150" s="69">
        <f>Assumptions!G49</f>
        <v>0.04</v>
      </c>
      <c r="L150" s="69">
        <f>Assumptions!H49</f>
        <v>0.04</v>
      </c>
      <c r="M150" s="69">
        <f>Assumptions!I49</f>
        <v>0.04</v>
      </c>
      <c r="N150" s="69">
        <f>Assumptions!J49</f>
        <v>0.04</v>
      </c>
      <c r="O150" s="69">
        <f>Assumptions!K49</f>
        <v>0.04</v>
      </c>
      <c r="P150" s="62">
        <f>P151/P139</f>
        <v>0.04</v>
      </c>
      <c r="Q150" s="69">
        <f>Budget!P35</f>
        <v>3.9999999999999994E-2</v>
      </c>
      <c r="R150" s="62">
        <f t="shared" si="73"/>
        <v>0</v>
      </c>
      <c r="S150" s="62">
        <f>R150</f>
        <v>0</v>
      </c>
    </row>
    <row r="151" spans="3:19" hidden="1" outlineLevel="1">
      <c r="C151" s="1" t="s">
        <v>239</v>
      </c>
      <c r="D151" s="209">
        <f t="shared" si="72"/>
        <v>9633.9599999999991</v>
      </c>
      <c r="E151" s="209">
        <f t="shared" si="72"/>
        <v>9393.2800000000007</v>
      </c>
      <c r="F151" s="209">
        <f t="shared" si="72"/>
        <v>11572.28</v>
      </c>
      <c r="G151" s="209">
        <f t="shared" si="72"/>
        <v>12003.34</v>
      </c>
      <c r="H151" s="209">
        <f t="shared" si="72"/>
        <v>13629.24</v>
      </c>
      <c r="I151" s="209">
        <f t="shared" si="72"/>
        <v>15162.3</v>
      </c>
      <c r="J151" s="209">
        <f t="shared" ref="J151:O151" si="78">J139*J150</f>
        <v>16806.348300000001</v>
      </c>
      <c r="K151" s="209">
        <f t="shared" si="78"/>
        <v>16126.764198000003</v>
      </c>
      <c r="L151" s="209">
        <f t="shared" si="78"/>
        <v>13091.937796</v>
      </c>
      <c r="M151" s="209">
        <f t="shared" si="78"/>
        <v>12971.358559999999</v>
      </c>
      <c r="N151" s="209">
        <f t="shared" si="78"/>
        <v>10238.339144000001</v>
      </c>
      <c r="O151" s="209">
        <f t="shared" si="78"/>
        <v>10489.853439999999</v>
      </c>
      <c r="P151" s="209">
        <f>SUM(D151:O151)</f>
        <v>151119.00143800001</v>
      </c>
      <c r="Q151" s="218">
        <f>Budget!P36</f>
        <v>161796.86319999996</v>
      </c>
      <c r="R151" s="209">
        <f t="shared" si="73"/>
        <v>-10677.861761999957</v>
      </c>
      <c r="S151" s="55">
        <f>IF(Q151=0,"n.a.",R151/ABS(Q151))</f>
        <v>-6.5995480696068032E-2</v>
      </c>
    </row>
    <row r="152" spans="3:19" hidden="1" outlineLevel="1"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11"/>
      <c r="R152" s="2"/>
      <c r="S152" s="55"/>
    </row>
    <row r="153" spans="3:19" ht="13.9" hidden="1" outlineLevel="1">
      <c r="C153" s="175" t="s">
        <v>240</v>
      </c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219"/>
      <c r="R153" s="176"/>
      <c r="S153" s="210"/>
    </row>
    <row r="154" spans="3:19" hidden="1" outlineLevel="1">
      <c r="C154" s="1" t="s">
        <v>189</v>
      </c>
      <c r="D154" s="60">
        <f t="shared" ref="D154:I159" si="79">D58</f>
        <v>5</v>
      </c>
      <c r="E154" s="60">
        <f t="shared" si="79"/>
        <v>5</v>
      </c>
      <c r="F154" s="60">
        <f t="shared" si="79"/>
        <v>5</v>
      </c>
      <c r="G154" s="60">
        <f t="shared" si="79"/>
        <v>5</v>
      </c>
      <c r="H154" s="60">
        <f t="shared" si="79"/>
        <v>5</v>
      </c>
      <c r="I154" s="60">
        <f t="shared" si="79"/>
        <v>5</v>
      </c>
      <c r="J154" s="59">
        <f>Assumptions!F50</f>
        <v>5</v>
      </c>
      <c r="K154" s="59">
        <f>Assumptions!G50</f>
        <v>5</v>
      </c>
      <c r="L154" s="59">
        <f>Assumptions!H50</f>
        <v>5</v>
      </c>
      <c r="M154" s="59">
        <f>Assumptions!I50</f>
        <v>5</v>
      </c>
      <c r="N154" s="59">
        <f>Assumptions!J50</f>
        <v>5</v>
      </c>
      <c r="O154" s="59">
        <f>Assumptions!K50</f>
        <v>5</v>
      </c>
      <c r="P154" s="60">
        <f>AVERAGE(D154:O154)</f>
        <v>5</v>
      </c>
      <c r="Q154" s="59">
        <f>Budget!P40</f>
        <v>5</v>
      </c>
      <c r="R154" s="60">
        <f t="shared" ref="R154:R159" si="80">P154-Q154</f>
        <v>0</v>
      </c>
      <c r="S154" s="55">
        <f t="shared" ref="S154:S159" si="81">IF(Q154=0,"n.a.",R154/ABS(Q154))</f>
        <v>0</v>
      </c>
    </row>
    <row r="155" spans="3:19" hidden="1" outlineLevel="1">
      <c r="C155" s="199" t="s">
        <v>279</v>
      </c>
      <c r="D155" s="213">
        <f t="shared" si="79"/>
        <v>5980</v>
      </c>
      <c r="E155" s="213">
        <f t="shared" si="79"/>
        <v>6005</v>
      </c>
      <c r="F155" s="213">
        <f t="shared" si="79"/>
        <v>6015</v>
      </c>
      <c r="G155" s="213">
        <f t="shared" si="79"/>
        <v>6040</v>
      </c>
      <c r="H155" s="213">
        <f t="shared" si="79"/>
        <v>6070</v>
      </c>
      <c r="I155" s="213">
        <f t="shared" si="79"/>
        <v>6050</v>
      </c>
      <c r="J155" s="221">
        <f>Assumptions!F51</f>
        <v>6120</v>
      </c>
      <c r="K155" s="221">
        <f>Assumptions!G51</f>
        <v>6120</v>
      </c>
      <c r="L155" s="221">
        <f>Assumptions!H51</f>
        <v>6120</v>
      </c>
      <c r="M155" s="221">
        <f>Assumptions!I51</f>
        <v>6120</v>
      </c>
      <c r="N155" s="221">
        <f>Assumptions!J51</f>
        <v>6120</v>
      </c>
      <c r="O155" s="221">
        <f>Assumptions!K51</f>
        <v>6120</v>
      </c>
      <c r="P155" s="213">
        <f>P156/SUM(D154:O154)</f>
        <v>6073.333333333333</v>
      </c>
      <c r="Q155" s="221">
        <f>Budget!P41</f>
        <v>6060</v>
      </c>
      <c r="R155" s="213">
        <f t="shared" si="80"/>
        <v>13.33333333333303</v>
      </c>
      <c r="S155" s="62">
        <f t="shared" si="81"/>
        <v>2.2002200220021502E-3</v>
      </c>
    </row>
    <row r="156" spans="3:19" hidden="1" outlineLevel="1">
      <c r="C156" s="1" t="s">
        <v>280</v>
      </c>
      <c r="D156" s="209">
        <f t="shared" si="79"/>
        <v>29900</v>
      </c>
      <c r="E156" s="209">
        <f t="shared" si="79"/>
        <v>30025</v>
      </c>
      <c r="F156" s="209">
        <f t="shared" si="79"/>
        <v>30075</v>
      </c>
      <c r="G156" s="209">
        <f t="shared" si="79"/>
        <v>30200</v>
      </c>
      <c r="H156" s="209">
        <f t="shared" si="79"/>
        <v>30350</v>
      </c>
      <c r="I156" s="209">
        <f t="shared" si="79"/>
        <v>30250</v>
      </c>
      <c r="J156" s="209">
        <f t="shared" ref="J156:O156" si="82">J154*J155</f>
        <v>30600</v>
      </c>
      <c r="K156" s="209">
        <f t="shared" si="82"/>
        <v>30600</v>
      </c>
      <c r="L156" s="209">
        <f t="shared" si="82"/>
        <v>30600</v>
      </c>
      <c r="M156" s="209">
        <f t="shared" si="82"/>
        <v>30600</v>
      </c>
      <c r="N156" s="209">
        <f t="shared" si="82"/>
        <v>30600</v>
      </c>
      <c r="O156" s="209">
        <f t="shared" si="82"/>
        <v>30600</v>
      </c>
      <c r="P156" s="209">
        <f>SUM(D156:O156)</f>
        <v>364400</v>
      </c>
      <c r="Q156" s="218">
        <f>Budget!P42</f>
        <v>363600</v>
      </c>
      <c r="R156" s="209">
        <f t="shared" si="80"/>
        <v>800</v>
      </c>
      <c r="S156" s="55">
        <f t="shared" si="81"/>
        <v>2.2002200220022001E-3</v>
      </c>
    </row>
    <row r="157" spans="3:19" hidden="1" outlineLevel="1">
      <c r="C157" s="1" t="s">
        <v>67</v>
      </c>
      <c r="D157" s="209">
        <f t="shared" si="79"/>
        <v>78000</v>
      </c>
      <c r="E157" s="209">
        <f t="shared" si="79"/>
        <v>78000</v>
      </c>
      <c r="F157" s="209">
        <f t="shared" si="79"/>
        <v>78000</v>
      </c>
      <c r="G157" s="209">
        <f t="shared" si="79"/>
        <v>78000</v>
      </c>
      <c r="H157" s="209">
        <f t="shared" si="79"/>
        <v>78000</v>
      </c>
      <c r="I157" s="209">
        <f t="shared" si="79"/>
        <v>78000</v>
      </c>
      <c r="J157" s="218">
        <f>Assumptions!F52</f>
        <v>78000</v>
      </c>
      <c r="K157" s="218">
        <f>Assumptions!G52</f>
        <v>78000</v>
      </c>
      <c r="L157" s="218">
        <f>Assumptions!H52</f>
        <v>78000</v>
      </c>
      <c r="M157" s="218">
        <f>Assumptions!I52</f>
        <v>78000</v>
      </c>
      <c r="N157" s="218">
        <f>Assumptions!J52</f>
        <v>78000</v>
      </c>
      <c r="O157" s="218">
        <f>Assumptions!K52</f>
        <v>78000</v>
      </c>
      <c r="P157" s="209">
        <f>SUM(D157:O157)</f>
        <v>936000</v>
      </c>
      <c r="Q157" s="218">
        <f>Budget!P43</f>
        <v>936000</v>
      </c>
      <c r="R157" s="209">
        <f t="shared" si="80"/>
        <v>0</v>
      </c>
      <c r="S157" s="55">
        <f t="shared" si="81"/>
        <v>0</v>
      </c>
    </row>
    <row r="158" spans="3:19" hidden="1" outlineLevel="1">
      <c r="C158" s="1" t="s">
        <v>191</v>
      </c>
      <c r="D158" s="209">
        <f t="shared" si="79"/>
        <v>28050</v>
      </c>
      <c r="E158" s="209">
        <f t="shared" si="79"/>
        <v>27920</v>
      </c>
      <c r="F158" s="209">
        <f t="shared" si="79"/>
        <v>28620</v>
      </c>
      <c r="G158" s="209">
        <f t="shared" si="79"/>
        <v>28710</v>
      </c>
      <c r="H158" s="209">
        <f t="shared" si="79"/>
        <v>30350</v>
      </c>
      <c r="I158" s="209">
        <f t="shared" si="79"/>
        <v>29410</v>
      </c>
      <c r="J158" s="218">
        <f>Assumptions!F53</f>
        <v>29800</v>
      </c>
      <c r="K158" s="218">
        <f>Assumptions!G53</f>
        <v>30000</v>
      </c>
      <c r="L158" s="218">
        <f>Assumptions!H53</f>
        <v>29400</v>
      </c>
      <c r="M158" s="218">
        <f>Assumptions!I53</f>
        <v>29100</v>
      </c>
      <c r="N158" s="218">
        <f>Assumptions!J53</f>
        <v>28700</v>
      </c>
      <c r="O158" s="218">
        <f>Assumptions!K53</f>
        <v>29000</v>
      </c>
      <c r="P158" s="209">
        <f>SUM(D158:O158)</f>
        <v>349060</v>
      </c>
      <c r="Q158" s="218">
        <f>Budget!P44</f>
        <v>347300</v>
      </c>
      <c r="R158" s="209">
        <f t="shared" si="80"/>
        <v>1760</v>
      </c>
      <c r="S158" s="55">
        <f t="shared" si="81"/>
        <v>5.0676648430751509E-3</v>
      </c>
    </row>
    <row r="159" spans="3:19" hidden="1" outlineLevel="1">
      <c r="C159" s="1" t="s">
        <v>71</v>
      </c>
      <c r="D159" s="209">
        <f t="shared" si="79"/>
        <v>10200</v>
      </c>
      <c r="E159" s="209">
        <f t="shared" si="79"/>
        <v>8800</v>
      </c>
      <c r="F159" s="209">
        <f t="shared" si="79"/>
        <v>11300</v>
      </c>
      <c r="G159" s="209">
        <f t="shared" si="79"/>
        <v>13100</v>
      </c>
      <c r="H159" s="209">
        <f t="shared" si="79"/>
        <v>14200</v>
      </c>
      <c r="I159" s="209">
        <f t="shared" si="79"/>
        <v>6000</v>
      </c>
      <c r="J159" s="218">
        <f>Assumptions!F54</f>
        <v>18000</v>
      </c>
      <c r="K159" s="218">
        <f>Assumptions!G54</f>
        <v>15000</v>
      </c>
      <c r="L159" s="218">
        <f>Assumptions!H54</f>
        <v>30000</v>
      </c>
      <c r="M159" s="218">
        <f>Assumptions!I54</f>
        <v>13000</v>
      </c>
      <c r="N159" s="218">
        <f>Assumptions!J54</f>
        <v>12000</v>
      </c>
      <c r="O159" s="218">
        <f>Assumptions!K54</f>
        <v>16000</v>
      </c>
      <c r="P159" s="209">
        <f>SUM(D159:O159)</f>
        <v>167600</v>
      </c>
      <c r="Q159" s="218">
        <f>Budget!P45</f>
        <v>167000</v>
      </c>
      <c r="R159" s="209">
        <f t="shared" si="80"/>
        <v>600</v>
      </c>
      <c r="S159" s="55">
        <f t="shared" si="81"/>
        <v>3.592814371257485E-3</v>
      </c>
    </row>
    <row r="160" spans="3:19" hidden="1" outlineLevel="1"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11"/>
      <c r="R160" s="2"/>
      <c r="S160" s="55"/>
    </row>
    <row r="161" spans="3:19" ht="13.9" hidden="1" outlineLevel="1">
      <c r="C161" s="175" t="s">
        <v>244</v>
      </c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219"/>
      <c r="R161" s="176"/>
      <c r="S161" s="210"/>
    </row>
    <row r="162" spans="3:19" ht="13.9" hidden="1" outlineLevel="1">
      <c r="C162" s="201" t="s">
        <v>245</v>
      </c>
      <c r="D162" s="214">
        <f t="shared" ref="D162:I164" si="83">D66</f>
        <v>207319.57</v>
      </c>
      <c r="E162" s="214">
        <f t="shared" si="83"/>
        <v>203220.68</v>
      </c>
      <c r="F162" s="214">
        <f t="shared" si="83"/>
        <v>220064.15</v>
      </c>
      <c r="G162" s="214">
        <f t="shared" si="83"/>
        <v>227952.59</v>
      </c>
      <c r="H162" s="214">
        <f t="shared" si="83"/>
        <v>238720.49</v>
      </c>
      <c r="I162" s="214">
        <f t="shared" si="83"/>
        <v>233839.1</v>
      </c>
      <c r="J162" s="214">
        <f t="shared" ref="J162:O162" si="84">SUM(J147,J149,J151,J156:J159)</f>
        <v>254674.97330000001</v>
      </c>
      <c r="K162" s="214">
        <f t="shared" si="84"/>
        <v>248677.58419800003</v>
      </c>
      <c r="L162" s="214">
        <f t="shared" si="84"/>
        <v>247537.85029600002</v>
      </c>
      <c r="M162" s="214">
        <f t="shared" si="84"/>
        <v>229704.65856000001</v>
      </c>
      <c r="N162" s="214">
        <f t="shared" si="84"/>
        <v>214644.75914400001</v>
      </c>
      <c r="O162" s="214">
        <f t="shared" si="84"/>
        <v>219908.15343999999</v>
      </c>
      <c r="P162" s="214">
        <f>SUM(D162:O162)</f>
        <v>2746264.5589379999</v>
      </c>
      <c r="Q162" s="222">
        <f>Budget!P49</f>
        <v>2765126.1656999998</v>
      </c>
      <c r="R162" s="214">
        <f>P162-Q162</f>
        <v>-18861.606761999894</v>
      </c>
      <c r="S162" s="215">
        <f>IF(Q162=0,"n.a.",R162/ABS(Q162))</f>
        <v>-6.8212463488894811E-3</v>
      </c>
    </row>
    <row r="163" spans="3:19" ht="13.9" hidden="1" outlineLevel="1">
      <c r="C163" s="202" t="s">
        <v>246</v>
      </c>
      <c r="D163" s="216">
        <f t="shared" si="83"/>
        <v>33529.429999999993</v>
      </c>
      <c r="E163" s="216">
        <f t="shared" si="83"/>
        <v>31611.320000000007</v>
      </c>
      <c r="F163" s="216">
        <f t="shared" si="83"/>
        <v>69242.850000000006</v>
      </c>
      <c r="G163" s="216">
        <f t="shared" si="83"/>
        <v>72130.91</v>
      </c>
      <c r="H163" s="216">
        <f t="shared" si="83"/>
        <v>102010.51000000001</v>
      </c>
      <c r="I163" s="216">
        <f t="shared" si="83"/>
        <v>145218.4</v>
      </c>
      <c r="J163" s="216">
        <f t="shared" ref="J163:O163" si="85">J139-J162</f>
        <v>165483.73420000001</v>
      </c>
      <c r="K163" s="216">
        <f t="shared" si="85"/>
        <v>154491.52075200004</v>
      </c>
      <c r="L163" s="216">
        <f t="shared" si="85"/>
        <v>79760.594603999984</v>
      </c>
      <c r="M163" s="216">
        <f t="shared" si="85"/>
        <v>94579.305439999967</v>
      </c>
      <c r="N163" s="216">
        <f t="shared" si="85"/>
        <v>41313.719456000021</v>
      </c>
      <c r="O163" s="216">
        <f t="shared" si="85"/>
        <v>42338.182559999957</v>
      </c>
      <c r="P163" s="216">
        <f>SUM(D163:O163)</f>
        <v>1031710.4770119999</v>
      </c>
      <c r="Q163" s="223">
        <f>Budget!P50</f>
        <v>1279795.4142999998</v>
      </c>
      <c r="R163" s="216">
        <f>P163-Q163</f>
        <v>-248084.9372879999</v>
      </c>
      <c r="S163" s="217">
        <f>IF(Q163=0,"n.a.",R163/ABS(Q163))</f>
        <v>-0.19384734037642498</v>
      </c>
    </row>
    <row r="164" spans="3:19" hidden="1" outlineLevel="1">
      <c r="C164" s="199" t="s">
        <v>247</v>
      </c>
      <c r="D164" s="62">
        <f t="shared" si="83"/>
        <v>0.13921349061029936</v>
      </c>
      <c r="E164" s="62">
        <f t="shared" si="83"/>
        <v>0.13461248892825511</v>
      </c>
      <c r="F164" s="62">
        <f t="shared" si="83"/>
        <v>0.23934038927506077</v>
      </c>
      <c r="G164" s="62">
        <f t="shared" si="83"/>
        <v>0.2403694638325666</v>
      </c>
      <c r="H164" s="62">
        <f t="shared" si="83"/>
        <v>0.29938722922187888</v>
      </c>
      <c r="I164" s="62">
        <f t="shared" si="83"/>
        <v>0.38310388265632522</v>
      </c>
      <c r="J164" s="62">
        <f t="shared" ref="J164:P164" si="86">J163/J139</f>
        <v>0.39386006108179966</v>
      </c>
      <c r="K164" s="62">
        <f t="shared" si="86"/>
        <v>0.38319285593860092</v>
      </c>
      <c r="L164" s="62">
        <f t="shared" si="86"/>
        <v>0.24369377810019649</v>
      </c>
      <c r="M164" s="62">
        <f t="shared" si="86"/>
        <v>0.29165582002075185</v>
      </c>
      <c r="N164" s="62">
        <f t="shared" si="86"/>
        <v>0.16140789585080778</v>
      </c>
      <c r="O164" s="62">
        <f t="shared" si="86"/>
        <v>0.1614443244690365</v>
      </c>
      <c r="P164" s="62">
        <f t="shared" si="86"/>
        <v>0.27308557287821478</v>
      </c>
      <c r="Q164" s="69">
        <f>Budget!P51</f>
        <v>0.31639560594398469</v>
      </c>
      <c r="R164" s="62">
        <f>P164-Q164</f>
        <v>-4.3310033065769915E-2</v>
      </c>
      <c r="S164" s="62">
        <f>R164</f>
        <v>-4.3310033065769915E-2</v>
      </c>
    </row>
    <row r="165" spans="3:19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3:19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3:19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3:19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3:19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3:19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65D"/>
  </sheetPr>
  <dimension ref="C2:N26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defaultRowHeight="13.5"/>
  <cols>
    <col min="3" max="3" width="38" customWidth="1"/>
    <col min="4" max="4" width="14" customWidth="1"/>
    <col min="5" max="5" width="15" customWidth="1"/>
    <col min="6" max="6" width="18" customWidth="1"/>
    <col min="7" max="7" width="16" customWidth="1"/>
    <col min="8" max="8" width="18" customWidth="1"/>
    <col min="9" max="11" width="15" customWidth="1"/>
    <col min="12" max="12" width="17" customWidth="1"/>
    <col min="13" max="14" width="25" customWidth="1"/>
  </cols>
  <sheetData>
    <row r="2" spans="3:14" ht="18" customHeight="1">
      <c r="C2" s="99" t="s">
        <v>283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</row>
    <row r="3" spans="3:14" ht="18" customHeight="1">
      <c r="C3" s="16" t="s">
        <v>284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3:14" ht="18" customHeight="1"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</row>
    <row r="5" spans="3:14" ht="24" customHeight="1">
      <c r="C5" s="162" t="s">
        <v>285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4"/>
    </row>
    <row r="6" spans="3:14" ht="22.05" customHeight="1">
      <c r="C6" s="4" t="s">
        <v>286</v>
      </c>
      <c r="D6" s="98" t="s">
        <v>287</v>
      </c>
      <c r="E6" s="98"/>
      <c r="F6" s="98"/>
      <c r="G6" s="98"/>
      <c r="H6" s="98"/>
      <c r="I6" s="98"/>
      <c r="J6" s="98"/>
      <c r="K6" s="98"/>
      <c r="L6" s="98"/>
      <c r="M6" s="98"/>
      <c r="N6" s="98"/>
    </row>
    <row r="7" spans="3:14" ht="22.05" customHeight="1">
      <c r="C7" s="4" t="s">
        <v>288</v>
      </c>
      <c r="D7" s="98" t="s">
        <v>289</v>
      </c>
      <c r="E7" s="98"/>
      <c r="F7" s="98"/>
      <c r="G7" s="98"/>
      <c r="H7" s="98"/>
      <c r="I7" s="98"/>
      <c r="J7" s="98"/>
      <c r="K7" s="98"/>
      <c r="L7" s="98"/>
      <c r="M7" s="98"/>
      <c r="N7" s="98"/>
    </row>
    <row r="8" spans="3:14" ht="22.05" customHeight="1">
      <c r="C8" s="4" t="s">
        <v>290</v>
      </c>
      <c r="D8" s="98" t="s">
        <v>291</v>
      </c>
      <c r="E8" s="98"/>
      <c r="F8" s="98"/>
      <c r="G8" s="98"/>
      <c r="H8" s="98"/>
      <c r="I8" s="98"/>
      <c r="J8" s="98"/>
      <c r="K8" s="98"/>
      <c r="L8" s="98"/>
      <c r="M8" s="98"/>
      <c r="N8" s="98"/>
    </row>
    <row r="9" spans="3:14" ht="22.05" customHeight="1">
      <c r="C9" s="4" t="s">
        <v>151</v>
      </c>
      <c r="D9" s="103">
        <v>46211</v>
      </c>
      <c r="E9" s="98"/>
      <c r="F9" s="98"/>
      <c r="G9" s="98"/>
      <c r="H9" s="98"/>
      <c r="I9" s="98"/>
      <c r="J9" s="98"/>
      <c r="K9" s="98"/>
      <c r="L9" s="98"/>
      <c r="M9" s="98"/>
      <c r="N9" s="98"/>
    </row>
    <row r="10" spans="3:14" ht="22.05" customHeight="1">
      <c r="C10" s="4" t="s">
        <v>2</v>
      </c>
      <c r="D10" s="98" t="s">
        <v>3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</row>
    <row r="11" spans="3:14" ht="32" customHeight="1">
      <c r="C11" s="4" t="s">
        <v>292</v>
      </c>
      <c r="D11" s="98" t="s">
        <v>293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</row>
    <row r="12" spans="3:14" ht="32" customHeight="1">
      <c r="C12" s="4" t="s">
        <v>294</v>
      </c>
      <c r="D12" s="98" t="s">
        <v>295</v>
      </c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3:14" ht="22.05" customHeight="1">
      <c r="C13" s="4" t="s">
        <v>296</v>
      </c>
      <c r="D13" s="98" t="s">
        <v>297</v>
      </c>
      <c r="E13" s="98"/>
      <c r="F13" s="98"/>
      <c r="G13" s="98"/>
      <c r="H13" s="98"/>
      <c r="I13" s="98"/>
      <c r="J13" s="98"/>
      <c r="K13" s="98"/>
      <c r="L13" s="98"/>
      <c r="M13" s="98"/>
      <c r="N13" s="98"/>
    </row>
    <row r="14" spans="3:14" ht="22.05" customHeight="1">
      <c r="C14" s="4" t="s">
        <v>298</v>
      </c>
      <c r="D14" s="98" t="s">
        <v>299</v>
      </c>
      <c r="E14" s="98"/>
      <c r="F14" s="98"/>
      <c r="G14" s="98"/>
      <c r="H14" s="98"/>
      <c r="I14" s="98"/>
      <c r="J14" s="98"/>
      <c r="K14" s="98"/>
      <c r="L14" s="98"/>
      <c r="M14" s="98"/>
      <c r="N14" s="98"/>
    </row>
    <row r="15" spans="3:14" ht="22.05" customHeight="1">
      <c r="C15" s="4" t="s">
        <v>300</v>
      </c>
      <c r="D15" s="98" t="s">
        <v>301</v>
      </c>
      <c r="E15" s="98"/>
      <c r="F15" s="98"/>
      <c r="G15" s="98"/>
      <c r="H15" s="98"/>
      <c r="I15" s="98"/>
      <c r="J15" s="98"/>
      <c r="K15" s="98"/>
      <c r="L15" s="98"/>
      <c r="M15" s="98"/>
      <c r="N15" s="98"/>
    </row>
    <row r="16" spans="3:14" ht="22.05" customHeight="1">
      <c r="C16" s="4" t="s">
        <v>302</v>
      </c>
      <c r="D16" s="98" t="s">
        <v>303</v>
      </c>
      <c r="E16" s="98"/>
      <c r="F16" s="98"/>
      <c r="G16" s="98"/>
      <c r="H16" s="98"/>
      <c r="I16" s="98"/>
      <c r="J16" s="98"/>
      <c r="K16" s="98"/>
      <c r="L16" s="98"/>
      <c r="M16" s="98"/>
      <c r="N16" s="98"/>
    </row>
    <row r="17" spans="3:14" ht="34.049999999999997" customHeight="1">
      <c r="C17" s="4" t="s">
        <v>304</v>
      </c>
      <c r="D17" s="98" t="s">
        <v>305</v>
      </c>
      <c r="E17" s="98"/>
      <c r="F17" s="98"/>
      <c r="G17" s="98"/>
      <c r="H17" s="98"/>
      <c r="I17" s="98"/>
      <c r="J17" s="98"/>
      <c r="K17" s="98"/>
      <c r="L17" s="98"/>
      <c r="M17" s="98"/>
      <c r="N17" s="98"/>
    </row>
    <row r="18" spans="3:14" ht="34.049999999999997" customHeight="1">
      <c r="C18" s="4" t="s">
        <v>306</v>
      </c>
      <c r="D18" s="98" t="s">
        <v>307</v>
      </c>
      <c r="E18" s="98"/>
      <c r="F18" s="98"/>
      <c r="G18" s="98"/>
      <c r="H18" s="98"/>
      <c r="I18" s="98"/>
      <c r="J18" s="98"/>
      <c r="K18" s="98"/>
      <c r="L18" s="98"/>
      <c r="M18" s="98"/>
      <c r="N18" s="98"/>
    </row>
    <row r="19" spans="3:14" ht="18" customHeight="1"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</row>
    <row r="20" spans="3:14" ht="18" customHeight="1"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3:14" ht="24" customHeight="1">
      <c r="C21" s="162" t="s">
        <v>308</v>
      </c>
      <c r="D21" s="163"/>
      <c r="E21" s="163"/>
      <c r="F21" s="163"/>
      <c r="G21" s="163"/>
      <c r="H21" s="163"/>
      <c r="I21" s="163"/>
      <c r="J21" s="164"/>
      <c r="K21" s="98"/>
      <c r="L21" s="98"/>
      <c r="M21" s="98"/>
      <c r="N21" s="98"/>
    </row>
    <row r="22" spans="3:14" ht="28.05" customHeight="1">
      <c r="C22" s="261" t="s">
        <v>309</v>
      </c>
      <c r="D22" s="261"/>
      <c r="E22" s="261"/>
      <c r="F22" s="261"/>
      <c r="G22" s="261"/>
      <c r="H22" s="261"/>
      <c r="I22" s="261"/>
      <c r="J22" s="261"/>
      <c r="K22" s="98"/>
      <c r="L22" s="98"/>
      <c r="M22" s="98"/>
      <c r="N22" s="98"/>
    </row>
    <row r="23" spans="3:14" ht="32" customHeight="1">
      <c r="C23" s="166" t="s">
        <v>218</v>
      </c>
      <c r="D23" s="167" t="s">
        <v>310</v>
      </c>
      <c r="E23" s="167" t="s">
        <v>311</v>
      </c>
      <c r="F23" s="167" t="s">
        <v>312</v>
      </c>
      <c r="G23" s="167" t="s">
        <v>313</v>
      </c>
      <c r="H23" s="167" t="s">
        <v>314</v>
      </c>
      <c r="I23" s="167" t="s">
        <v>315</v>
      </c>
      <c r="J23" s="168" t="s">
        <v>316</v>
      </c>
      <c r="K23" s="98"/>
      <c r="L23" s="98"/>
      <c r="M23" s="98"/>
      <c r="N23" s="98"/>
    </row>
    <row r="24" spans="3:14" ht="24" customHeight="1">
      <c r="C24" s="162" t="s">
        <v>317</v>
      </c>
      <c r="D24" s="163"/>
      <c r="E24" s="163"/>
      <c r="F24" s="163"/>
      <c r="G24" s="163"/>
      <c r="H24" s="163"/>
      <c r="I24" s="163"/>
      <c r="J24" s="164"/>
      <c r="K24" s="98"/>
      <c r="L24" s="98"/>
      <c r="M24" s="98"/>
      <c r="N24" s="98"/>
    </row>
    <row r="25" spans="3:14" ht="18" customHeight="1">
      <c r="C25" s="106" t="s">
        <v>223</v>
      </c>
      <c r="D25" s="108">
        <f t="shared" ref="D25:D34" si="0">J94</f>
        <v>18100</v>
      </c>
      <c r="E25" s="108">
        <f t="shared" ref="E25:E34" si="1">J61</f>
        <v>18100</v>
      </c>
      <c r="F25" s="108">
        <f>D25-E25</f>
        <v>0</v>
      </c>
      <c r="G25" s="135">
        <f>IF(E25=0,"n.a.",F25/ABS(E25))</f>
        <v>0</v>
      </c>
      <c r="H25" s="108">
        <f>100*(31+28+31+30+31+30)</f>
        <v>18100</v>
      </c>
      <c r="I25" s="108">
        <f>D25-H25</f>
        <v>0</v>
      </c>
      <c r="J25" s="135">
        <f>IF(H25=0,"n.a.",I25/ABS(H25))</f>
        <v>0</v>
      </c>
      <c r="K25" s="98"/>
      <c r="L25" s="98"/>
      <c r="M25" s="98"/>
      <c r="N25" s="98"/>
    </row>
    <row r="26" spans="3:14" ht="18" customHeight="1">
      <c r="C26" s="109" t="s">
        <v>175</v>
      </c>
      <c r="D26" s="111">
        <f t="shared" si="0"/>
        <v>11538</v>
      </c>
      <c r="E26" s="111">
        <f t="shared" si="1"/>
        <v>12078</v>
      </c>
      <c r="F26" s="111">
        <f>D26-E26</f>
        <v>-540</v>
      </c>
      <c r="G26" s="136">
        <f>IF(E26=0,"n.a.",F26/ABS(E26))</f>
        <v>-4.4709388971684055E-2</v>
      </c>
      <c r="H26" s="111">
        <f>H28+H29</f>
        <v>11596</v>
      </c>
      <c r="I26" s="111">
        <f>D26-H26</f>
        <v>-58</v>
      </c>
      <c r="J26" s="136">
        <f>IF(H26=0,"n.a.",I26/ABS(H26))</f>
        <v>-5.001724732666437E-3</v>
      </c>
      <c r="K26" s="98"/>
      <c r="L26" s="98"/>
      <c r="M26" s="98"/>
      <c r="N26" s="98"/>
    </row>
    <row r="27" spans="3:14" ht="18" customHeight="1">
      <c r="C27" s="112" t="s">
        <v>225</v>
      </c>
      <c r="D27" s="114">
        <f t="shared" si="0"/>
        <v>0.63745856353591157</v>
      </c>
      <c r="E27" s="114">
        <f t="shared" si="1"/>
        <v>0.66729281767955806</v>
      </c>
      <c r="F27" s="133">
        <f>(D27-E27)*100</f>
        <v>-2.9834254143646488</v>
      </c>
      <c r="G27" s="114" t="s">
        <v>318</v>
      </c>
      <c r="H27" s="114">
        <f>H26/H25</f>
        <v>0.64066298342541439</v>
      </c>
      <c r="I27" s="133">
        <f>(D27-H27)*100</f>
        <v>-0.32044198895028186</v>
      </c>
      <c r="J27" s="114" t="s">
        <v>318</v>
      </c>
      <c r="K27" s="98"/>
      <c r="L27" s="98"/>
      <c r="M27" s="98"/>
      <c r="N27" s="98"/>
    </row>
    <row r="28" spans="3:14" ht="18" customHeight="1">
      <c r="C28" s="109" t="s">
        <v>226</v>
      </c>
      <c r="D28" s="116">
        <f t="shared" si="0"/>
        <v>7012</v>
      </c>
      <c r="E28" s="116">
        <f t="shared" si="1"/>
        <v>8058.9600000000009</v>
      </c>
      <c r="F28" s="116">
        <f>D28-E28</f>
        <v>-1046.9600000000009</v>
      </c>
      <c r="G28" s="136">
        <f>IF(E28=0,"n.a.",F28/ABS(E28))</f>
        <v>-0.12991254454669099</v>
      </c>
      <c r="H28" s="116">
        <f>SUM(Data!$F$158,Data!$F$160,Data!$F$162,Data!$F$164,Data!$F$166,Data!$F$168)</f>
        <v>8040</v>
      </c>
      <c r="I28" s="116">
        <f>D28-H28</f>
        <v>-1028</v>
      </c>
      <c r="J28" s="136">
        <f>IF(H28=0,"n.a.",I28/ABS(H28))</f>
        <v>-0.12786069651741294</v>
      </c>
      <c r="K28" s="98"/>
      <c r="L28" s="98"/>
      <c r="M28" s="98"/>
      <c r="N28" s="98"/>
    </row>
    <row r="29" spans="3:14" ht="18" customHeight="1">
      <c r="C29" s="109" t="s">
        <v>227</v>
      </c>
      <c r="D29" s="116">
        <f t="shared" si="0"/>
        <v>4526</v>
      </c>
      <c r="E29" s="116">
        <f t="shared" si="1"/>
        <v>4019.0400000000004</v>
      </c>
      <c r="F29" s="116">
        <f>D29-E29</f>
        <v>506.95999999999958</v>
      </c>
      <c r="G29" s="136">
        <f>IF(E29=0,"n.a.",F29/ABS(E29))</f>
        <v>0.12613957562004846</v>
      </c>
      <c r="H29" s="116">
        <f>SUM(Data!$F$159,Data!$F$161,Data!$F$163,Data!$F$165,Data!$F$167,Data!$F$169)</f>
        <v>3556</v>
      </c>
      <c r="I29" s="116">
        <f>D29-H29</f>
        <v>970</v>
      </c>
      <c r="J29" s="136">
        <f>IF(H29=0,"n.a.",I29/ABS(H29))</f>
        <v>0.27277840269966253</v>
      </c>
      <c r="K29" s="98"/>
      <c r="L29" s="98"/>
      <c r="M29" s="98"/>
      <c r="N29" s="98"/>
    </row>
    <row r="30" spans="3:14" ht="18" customHeight="1">
      <c r="C30" s="112" t="s">
        <v>178</v>
      </c>
      <c r="D30" s="114">
        <f t="shared" si="0"/>
        <v>0.39226902409429709</v>
      </c>
      <c r="E30" s="114">
        <f t="shared" si="1"/>
        <v>0.33275707898658724</v>
      </c>
      <c r="F30" s="133">
        <f>(D30-E30)*100</f>
        <v>5.9511945107709856</v>
      </c>
      <c r="G30" s="114" t="s">
        <v>318</v>
      </c>
      <c r="H30" s="114">
        <f>H29/H26</f>
        <v>0.30665746809244565</v>
      </c>
      <c r="I30" s="133">
        <f>(D30-H30)*100</f>
        <v>8.5611556001851437</v>
      </c>
      <c r="J30" s="114" t="s">
        <v>318</v>
      </c>
      <c r="K30" s="98"/>
      <c r="L30" s="98"/>
      <c r="M30" s="98"/>
      <c r="N30" s="98"/>
    </row>
    <row r="31" spans="3:14" ht="18" customHeight="1">
      <c r="C31" s="109" t="s">
        <v>180</v>
      </c>
      <c r="D31" s="118">
        <f t="shared" si="0"/>
        <v>163.61737022247576</v>
      </c>
      <c r="E31" s="118">
        <f t="shared" si="1"/>
        <v>163.69145894755647</v>
      </c>
      <c r="F31" s="118">
        <f>D31-E31</f>
        <v>-7.4088725080713402E-2</v>
      </c>
      <c r="G31" s="136">
        <f>IF(E31=0,"n.a.",F31/ABS(E31))</f>
        <v>-4.5261203948612842E-4</v>
      </c>
      <c r="H31" s="118">
        <f>H36/H28</f>
        <v>159.98893034825872</v>
      </c>
      <c r="I31" s="118">
        <f>D31-H31</f>
        <v>3.6284398742170367</v>
      </c>
      <c r="J31" s="136">
        <f>IF(H31=0,"n.a.",I31/ABS(H31))</f>
        <v>2.2679318289826469E-2</v>
      </c>
      <c r="K31" s="98"/>
      <c r="L31" s="98"/>
      <c r="M31" s="98"/>
      <c r="N31" s="98"/>
    </row>
    <row r="32" spans="3:14" ht="18" customHeight="1">
      <c r="C32" s="109" t="s">
        <v>181</v>
      </c>
      <c r="D32" s="118">
        <f t="shared" si="0"/>
        <v>140.86942112240388</v>
      </c>
      <c r="E32" s="118">
        <f t="shared" si="1"/>
        <v>140.29937995143115</v>
      </c>
      <c r="F32" s="118">
        <f>D32-E32</f>
        <v>0.57004117097272911</v>
      </c>
      <c r="G32" s="136">
        <f>IF(E32=0,"n.a.",F32/ABS(E32))</f>
        <v>4.0630341429168538E-3</v>
      </c>
      <c r="H32" s="118">
        <f>H37/H29</f>
        <v>137.58830146231722</v>
      </c>
      <c r="I32" s="118">
        <f>D32-H32</f>
        <v>3.2811196600866595</v>
      </c>
      <c r="J32" s="136">
        <f>IF(H32=0,"n.a.",I32/ABS(H32))</f>
        <v>2.3847373833488995E-2</v>
      </c>
      <c r="K32" s="98"/>
      <c r="L32" s="98"/>
      <c r="M32" s="98"/>
      <c r="N32" s="98"/>
    </row>
    <row r="33" spans="3:14" ht="18" customHeight="1">
      <c r="C33" s="109" t="s">
        <v>232</v>
      </c>
      <c r="D33" s="118">
        <f t="shared" si="0"/>
        <v>154.69405442884383</v>
      </c>
      <c r="E33" s="118">
        <f t="shared" si="1"/>
        <v>155.90757906938234</v>
      </c>
      <c r="F33" s="118">
        <f>D33-E33</f>
        <v>-1.2135246405385089</v>
      </c>
      <c r="G33" s="136">
        <f>IF(E33=0,"n.a.",F33/ABS(E33))</f>
        <v>-7.7836154456510645E-3</v>
      </c>
      <c r="H33" s="118">
        <f>H38/H26</f>
        <v>153.11961021041739</v>
      </c>
      <c r="I33" s="118">
        <f>D33-H33</f>
        <v>1.5744442184264358</v>
      </c>
      <c r="J33" s="136">
        <f>IF(H33=0,"n.a.",I33/ABS(H33))</f>
        <v>1.0282446619755825E-2</v>
      </c>
      <c r="K33" s="98"/>
      <c r="L33" s="98"/>
      <c r="M33" s="98"/>
      <c r="N33" s="98"/>
    </row>
    <row r="34" spans="3:14" ht="18" customHeight="1">
      <c r="C34" s="137" t="s">
        <v>233</v>
      </c>
      <c r="D34" s="138">
        <f t="shared" si="0"/>
        <v>98.611049723756906</v>
      </c>
      <c r="E34" s="138">
        <f t="shared" si="1"/>
        <v>104.03600773480662</v>
      </c>
      <c r="F34" s="138">
        <f>D34-E34</f>
        <v>-5.4249580110497106</v>
      </c>
      <c r="G34" s="139">
        <f>IF(E34=0,"n.a.",F34/ABS(E34))</f>
        <v>-5.2145003726769494E-2</v>
      </c>
      <c r="H34" s="138">
        <f>H38/H25</f>
        <v>98.098066298342545</v>
      </c>
      <c r="I34" s="138">
        <f>D34-H34</f>
        <v>0.5129834254143617</v>
      </c>
      <c r="J34" s="139">
        <f>IF(H34=0,"n.a.",I34/ABS(H34))</f>
        <v>5.2292919195189988E-3</v>
      </c>
      <c r="K34" s="98"/>
      <c r="L34" s="98"/>
      <c r="M34" s="98"/>
      <c r="N34" s="98"/>
    </row>
    <row r="35" spans="3:14" ht="24" customHeight="1">
      <c r="C35" s="162" t="s">
        <v>319</v>
      </c>
      <c r="D35" s="163"/>
      <c r="E35" s="163"/>
      <c r="F35" s="163"/>
      <c r="G35" s="163"/>
      <c r="H35" s="163"/>
      <c r="I35" s="163"/>
      <c r="J35" s="164"/>
      <c r="K35" s="98"/>
      <c r="L35" s="98"/>
      <c r="M35" s="98"/>
      <c r="N35" s="98"/>
    </row>
    <row r="36" spans="3:14" ht="18" customHeight="1">
      <c r="C36" s="106" t="s">
        <v>229</v>
      </c>
      <c r="D36" s="140">
        <f>J104</f>
        <v>1147285</v>
      </c>
      <c r="E36" s="140">
        <f>J71</f>
        <v>1319182.92</v>
      </c>
      <c r="F36" s="140">
        <f t="shared" ref="F36:F47" si="2">D36-E36</f>
        <v>-171897.91999999993</v>
      </c>
      <c r="G36" s="135">
        <f t="shared" ref="G36:G47" si="3">IF(E36=0,"n.a.",F36/ABS(E36))</f>
        <v>-0.13030635660443507</v>
      </c>
      <c r="H36" s="140">
        <f>SUM(Data!$G$158,Data!$G$160,Data!$G$162,Data!$G$164,Data!$G$166,Data!$G$168)</f>
        <v>1286311</v>
      </c>
      <c r="I36" s="140">
        <f t="shared" ref="I36:I47" si="4">D36-H36</f>
        <v>-139026</v>
      </c>
      <c r="J36" s="135">
        <f t="shared" ref="J36:J47" si="5">IF(H36=0,"n.a.",I36/ABS(H36))</f>
        <v>-0.10808117166066371</v>
      </c>
      <c r="K36" s="98"/>
      <c r="L36" s="98"/>
      <c r="M36" s="98"/>
      <c r="N36" s="98"/>
    </row>
    <row r="37" spans="3:14" ht="18" customHeight="1">
      <c r="C37" s="109" t="s">
        <v>230</v>
      </c>
      <c r="D37" s="120">
        <f>J105</f>
        <v>637575</v>
      </c>
      <c r="E37" s="120">
        <f>J72</f>
        <v>563868.81999999995</v>
      </c>
      <c r="F37" s="120">
        <f t="shared" si="2"/>
        <v>73706.180000000051</v>
      </c>
      <c r="G37" s="136">
        <f t="shared" si="3"/>
        <v>0.13071511916548259</v>
      </c>
      <c r="H37" s="120">
        <f>SUM(Data!$G$159,Data!$G$161,Data!$G$163,Data!$G$165,Data!$G$167,Data!$G$169)</f>
        <v>489264</v>
      </c>
      <c r="I37" s="120">
        <f t="shared" si="4"/>
        <v>148311</v>
      </c>
      <c r="J37" s="136">
        <f t="shared" si="5"/>
        <v>0.30313082507603256</v>
      </c>
      <c r="K37" s="98"/>
      <c r="L37" s="98"/>
      <c r="M37" s="98"/>
      <c r="N37" s="98"/>
    </row>
    <row r="38" spans="3:14" ht="18" customHeight="1">
      <c r="C38" s="121" t="s">
        <v>231</v>
      </c>
      <c r="D38" s="123">
        <f>J106</f>
        <v>1784860</v>
      </c>
      <c r="E38" s="123">
        <f>J73</f>
        <v>1883051.7399999998</v>
      </c>
      <c r="F38" s="123">
        <f t="shared" si="2"/>
        <v>-98191.739999999758</v>
      </c>
      <c r="G38" s="141">
        <f t="shared" si="3"/>
        <v>-5.2145003726769487E-2</v>
      </c>
      <c r="H38" s="123">
        <f>H36+H37</f>
        <v>1775575</v>
      </c>
      <c r="I38" s="123">
        <f t="shared" si="4"/>
        <v>9285</v>
      </c>
      <c r="J38" s="141">
        <f t="shared" si="5"/>
        <v>5.2292919195190291E-3</v>
      </c>
      <c r="K38" s="98"/>
      <c r="L38" s="98"/>
      <c r="M38" s="98"/>
      <c r="N38" s="98"/>
    </row>
    <row r="39" spans="3:14" ht="18" customHeight="1">
      <c r="C39" s="109" t="s">
        <v>237</v>
      </c>
      <c r="D39" s="120">
        <f>J110</f>
        <v>151330.48000000001</v>
      </c>
      <c r="E39" s="120">
        <f>J77</f>
        <v>141578.36000000002</v>
      </c>
      <c r="F39" s="120">
        <f t="shared" si="2"/>
        <v>9752.1199999999953</v>
      </c>
      <c r="G39" s="136">
        <f t="shared" si="3"/>
        <v>6.8881430749727537E-2</v>
      </c>
      <c r="H39" s="120">
        <f>SUM(Data!$F$200,Data!$F$201,Data!$F$202,Data!$F$203,Data!$F$204,Data!$F$205)</f>
        <v>133869.13</v>
      </c>
      <c r="I39" s="120">
        <f t="shared" si="4"/>
        <v>17461.350000000006</v>
      </c>
      <c r="J39" s="136">
        <f t="shared" si="5"/>
        <v>0.13043597131018933</v>
      </c>
      <c r="K39" s="98"/>
      <c r="L39" s="98"/>
      <c r="M39" s="98"/>
      <c r="N39" s="98"/>
    </row>
    <row r="40" spans="3:14" ht="18" customHeight="1">
      <c r="C40" s="109" t="s">
        <v>238</v>
      </c>
      <c r="D40" s="120">
        <f>J112</f>
        <v>222931.7</v>
      </c>
      <c r="E40" s="120">
        <f>J79</f>
        <v>231581.3</v>
      </c>
      <c r="F40" s="120">
        <f t="shared" si="2"/>
        <v>-8649.5999999999767</v>
      </c>
      <c r="G40" s="136">
        <f t="shared" si="3"/>
        <v>-3.7350166010813382E-2</v>
      </c>
      <c r="H40" s="120">
        <f>SUM(Data!$G$10,Data!$G$18,Data!$G$26,Data!$G$34,Data!$G$42,Data!$G$50)</f>
        <v>215540</v>
      </c>
      <c r="I40" s="120">
        <f t="shared" si="4"/>
        <v>7391.7000000000116</v>
      </c>
      <c r="J40" s="136">
        <f t="shared" si="5"/>
        <v>3.4293866567690505E-2</v>
      </c>
      <c r="K40" s="98"/>
      <c r="L40" s="98"/>
      <c r="M40" s="98"/>
      <c r="N40" s="98"/>
    </row>
    <row r="41" spans="3:14" ht="18" customHeight="1">
      <c r="C41" s="109" t="s">
        <v>239</v>
      </c>
      <c r="D41" s="120">
        <f>J114</f>
        <v>71394.399999999994</v>
      </c>
      <c r="E41" s="120">
        <f>J81</f>
        <v>75322.069599999988</v>
      </c>
      <c r="F41" s="120">
        <f t="shared" si="2"/>
        <v>-3927.6695999999938</v>
      </c>
      <c r="G41" s="136">
        <f t="shared" si="3"/>
        <v>-5.2145003726769536E-2</v>
      </c>
      <c r="H41" s="120">
        <f>SUM(Data!$G$11,Data!$G$19,Data!$G$27,Data!$G$35,Data!$G$43,Data!$G$51)</f>
        <v>71023</v>
      </c>
      <c r="I41" s="120">
        <f t="shared" si="4"/>
        <v>371.39999999999418</v>
      </c>
      <c r="J41" s="136">
        <f t="shared" si="5"/>
        <v>5.2292919195189467E-3</v>
      </c>
      <c r="K41" s="98"/>
      <c r="L41" s="98"/>
      <c r="M41" s="98"/>
      <c r="N41" s="98"/>
    </row>
    <row r="42" spans="3:14" ht="18" customHeight="1">
      <c r="C42" s="109" t="s">
        <v>280</v>
      </c>
      <c r="D42" s="120">
        <f t="shared" ref="D42:D48" si="6">J117</f>
        <v>180800</v>
      </c>
      <c r="E42" s="120">
        <f t="shared" ref="E42:E48" si="7">J84</f>
        <v>180000</v>
      </c>
      <c r="F42" s="120">
        <f t="shared" si="2"/>
        <v>800</v>
      </c>
      <c r="G42" s="136">
        <f t="shared" si="3"/>
        <v>4.4444444444444444E-3</v>
      </c>
      <c r="H42" s="120">
        <f>SUM(Data!$H$200,Data!$H$201,Data!$H$202,Data!$H$203,Data!$H$204,Data!$H$205)</f>
        <v>173172</v>
      </c>
      <c r="I42" s="120">
        <f t="shared" si="4"/>
        <v>7628</v>
      </c>
      <c r="J42" s="136">
        <f t="shared" si="5"/>
        <v>4.4048691474372299E-2</v>
      </c>
      <c r="K42" s="98"/>
      <c r="L42" s="98"/>
      <c r="M42" s="98"/>
      <c r="N42" s="98"/>
    </row>
    <row r="43" spans="3:14" ht="18" customHeight="1">
      <c r="C43" s="109" t="s">
        <v>67</v>
      </c>
      <c r="D43" s="120">
        <f t="shared" si="6"/>
        <v>468000</v>
      </c>
      <c r="E43" s="120">
        <f t="shared" si="7"/>
        <v>468000</v>
      </c>
      <c r="F43" s="120">
        <f t="shared" si="2"/>
        <v>0</v>
      </c>
      <c r="G43" s="136">
        <f t="shared" si="3"/>
        <v>0</v>
      </c>
      <c r="H43" s="120">
        <f>SUM(Data!$G$13,Data!$G$21,Data!$G$29,Data!$G$37,Data!$G$45,Data!$G$53)</f>
        <v>456000</v>
      </c>
      <c r="I43" s="120">
        <f t="shared" si="4"/>
        <v>12000</v>
      </c>
      <c r="J43" s="136">
        <f t="shared" si="5"/>
        <v>2.6315789473684209E-2</v>
      </c>
      <c r="K43" s="98"/>
      <c r="L43" s="98"/>
      <c r="M43" s="98"/>
      <c r="N43" s="98"/>
    </row>
    <row r="44" spans="3:14" ht="18" customHeight="1">
      <c r="C44" s="109" t="s">
        <v>191</v>
      </c>
      <c r="D44" s="120">
        <f t="shared" si="6"/>
        <v>173060</v>
      </c>
      <c r="E44" s="120">
        <f t="shared" si="7"/>
        <v>171300</v>
      </c>
      <c r="F44" s="120">
        <f t="shared" si="2"/>
        <v>1760</v>
      </c>
      <c r="G44" s="136">
        <f t="shared" si="3"/>
        <v>1.0274372446001167E-2</v>
      </c>
      <c r="H44" s="120">
        <f>SUM(Data!$G$14,Data!$G$22,Data!$G$30,Data!$G$38,Data!$G$46,Data!$G$54)</f>
        <v>163600</v>
      </c>
      <c r="I44" s="120">
        <f t="shared" si="4"/>
        <v>9460</v>
      </c>
      <c r="J44" s="136">
        <f t="shared" si="5"/>
        <v>5.7823960880195598E-2</v>
      </c>
      <c r="K44" s="98"/>
      <c r="L44" s="98"/>
      <c r="M44" s="98"/>
      <c r="N44" s="98"/>
    </row>
    <row r="45" spans="3:14" ht="18" customHeight="1">
      <c r="C45" s="109" t="s">
        <v>71</v>
      </c>
      <c r="D45" s="120">
        <f t="shared" si="6"/>
        <v>63600</v>
      </c>
      <c r="E45" s="120">
        <f t="shared" si="7"/>
        <v>81000</v>
      </c>
      <c r="F45" s="120">
        <f t="shared" si="2"/>
        <v>-17400</v>
      </c>
      <c r="G45" s="136">
        <f t="shared" si="3"/>
        <v>-0.21481481481481482</v>
      </c>
      <c r="H45" s="120">
        <f>SUM(Data!$G$15,Data!$G$23,Data!$G$31,Data!$G$39,Data!$G$47,Data!$G$55)</f>
        <v>70500</v>
      </c>
      <c r="I45" s="120">
        <f t="shared" si="4"/>
        <v>-6900</v>
      </c>
      <c r="J45" s="136">
        <f t="shared" si="5"/>
        <v>-9.7872340425531917E-2</v>
      </c>
      <c r="K45" s="98"/>
      <c r="L45" s="98"/>
      <c r="M45" s="98"/>
      <c r="N45" s="98"/>
    </row>
    <row r="46" spans="3:14" ht="18" customHeight="1">
      <c r="C46" s="121" t="s">
        <v>245</v>
      </c>
      <c r="D46" s="123">
        <f t="shared" si="6"/>
        <v>1331116.58</v>
      </c>
      <c r="E46" s="123">
        <f t="shared" si="7"/>
        <v>1348781.7296</v>
      </c>
      <c r="F46" s="123">
        <f t="shared" si="2"/>
        <v>-17665.149599999888</v>
      </c>
      <c r="G46" s="141">
        <f t="shared" si="3"/>
        <v>-1.3097115131622324E-2</v>
      </c>
      <c r="H46" s="123">
        <f>SUM(H39,H40,H41,H42,H43,H44,H45)</f>
        <v>1283704.1299999999</v>
      </c>
      <c r="I46" s="123">
        <f t="shared" si="4"/>
        <v>47412.450000000186</v>
      </c>
      <c r="J46" s="141">
        <f t="shared" si="5"/>
        <v>3.6934094774627071E-2</v>
      </c>
      <c r="K46" s="98"/>
      <c r="L46" s="98"/>
      <c r="M46" s="98"/>
      <c r="N46" s="98"/>
    </row>
    <row r="47" spans="3:14" ht="18" customHeight="1">
      <c r="C47" s="121" t="s">
        <v>246</v>
      </c>
      <c r="D47" s="123">
        <f t="shared" si="6"/>
        <v>453743.42000000004</v>
      </c>
      <c r="E47" s="123">
        <f t="shared" si="7"/>
        <v>534270.01039999991</v>
      </c>
      <c r="F47" s="123">
        <f t="shared" si="2"/>
        <v>-80526.59039999987</v>
      </c>
      <c r="G47" s="141">
        <f t="shared" si="3"/>
        <v>-0.15072264741139191</v>
      </c>
      <c r="H47" s="123">
        <f>H38-H46</f>
        <v>491870.87000000011</v>
      </c>
      <c r="I47" s="123">
        <f t="shared" si="4"/>
        <v>-38127.45000000007</v>
      </c>
      <c r="J47" s="141">
        <f t="shared" si="5"/>
        <v>-7.7515161652081693E-2</v>
      </c>
      <c r="K47" s="98"/>
      <c r="L47" s="98"/>
      <c r="M47" s="98"/>
      <c r="N47" s="98"/>
    </row>
    <row r="48" spans="3:14" ht="18" customHeight="1">
      <c r="C48" s="130" t="s">
        <v>247</v>
      </c>
      <c r="D48" s="132">
        <f t="shared" si="6"/>
        <v>0.25421793305917556</v>
      </c>
      <c r="E48" s="132">
        <f t="shared" si="7"/>
        <v>0.28372561361484416</v>
      </c>
      <c r="F48" s="134">
        <f>(D48-E48)*100</f>
        <v>-2.9507680555668605</v>
      </c>
      <c r="G48" s="132" t="s">
        <v>318</v>
      </c>
      <c r="H48" s="132">
        <f>H47/H38</f>
        <v>0.2770206102248568</v>
      </c>
      <c r="I48" s="134">
        <f>(D48-H48)*100</f>
        <v>-2.2802677165681242</v>
      </c>
      <c r="J48" s="132" t="s">
        <v>318</v>
      </c>
      <c r="K48" s="98"/>
      <c r="L48" s="98"/>
      <c r="M48" s="98"/>
      <c r="N48" s="98"/>
    </row>
    <row r="49" spans="3:14" ht="24" customHeight="1">
      <c r="C49" s="162" t="s">
        <v>320</v>
      </c>
      <c r="D49" s="163"/>
      <c r="E49" s="163"/>
      <c r="F49" s="163"/>
      <c r="G49" s="163"/>
      <c r="H49" s="163"/>
      <c r="I49" s="163"/>
      <c r="J49" s="164"/>
      <c r="K49" s="98"/>
      <c r="L49" s="98"/>
      <c r="M49" s="98"/>
      <c r="N49" s="98"/>
    </row>
    <row r="50" spans="3:14" ht="18" customHeight="1">
      <c r="C50" s="106" t="s">
        <v>236</v>
      </c>
      <c r="D50" s="142">
        <f>J107</f>
        <v>6664.3799999999992</v>
      </c>
      <c r="E50" s="142">
        <f>J74</f>
        <v>6435.380000000001</v>
      </c>
      <c r="F50" s="142">
        <f t="shared" ref="F50:F55" si="8">D50-E50</f>
        <v>228.99999999999818</v>
      </c>
      <c r="G50" s="135">
        <f t="shared" ref="G50:G55" si="9">IF(E50=0,"n.a.",F50/ABS(E50))</f>
        <v>3.558453424661763E-2</v>
      </c>
      <c r="H50" s="142">
        <f>SUM(Data!$E$200,Data!$E$201,Data!$E$202,Data!$E$203,Data!$E$204,Data!$E$205)</f>
        <v>6334.58</v>
      </c>
      <c r="I50" s="142">
        <f t="shared" ref="I50:I55" si="10">D50-H50</f>
        <v>329.79999999999927</v>
      </c>
      <c r="J50" s="135">
        <f t="shared" ref="J50:J55" si="11">IF(H50=0,"n.a.",I50/ABS(H50))</f>
        <v>5.2063435934189682E-2</v>
      </c>
      <c r="K50" s="98"/>
      <c r="L50" s="98"/>
      <c r="M50" s="98"/>
      <c r="N50" s="98"/>
    </row>
    <row r="51" spans="3:14" ht="18" customHeight="1">
      <c r="C51" s="112" t="s">
        <v>183</v>
      </c>
      <c r="D51" s="125">
        <f>J108</f>
        <v>0.57760270410816428</v>
      </c>
      <c r="E51" s="125">
        <f>J75</f>
        <v>0.53281834740851142</v>
      </c>
      <c r="F51" s="125">
        <f t="shared" si="8"/>
        <v>4.4784356699652861E-2</v>
      </c>
      <c r="G51" s="114">
        <f t="shared" si="9"/>
        <v>8.4051829141155179E-2</v>
      </c>
      <c r="H51" s="125">
        <f>H50/H26</f>
        <v>0.54627285270783033</v>
      </c>
      <c r="I51" s="125">
        <f t="shared" si="10"/>
        <v>3.1329851400333952E-2</v>
      </c>
      <c r="J51" s="114">
        <f t="shared" si="11"/>
        <v>5.7352019682168742E-2</v>
      </c>
      <c r="K51" s="98"/>
      <c r="L51" s="98"/>
      <c r="M51" s="98"/>
      <c r="N51" s="98"/>
    </row>
    <row r="52" spans="3:14" ht="18" customHeight="1">
      <c r="C52" s="112" t="s">
        <v>321</v>
      </c>
      <c r="D52" s="127">
        <f>J109</f>
        <v>22.707360624694275</v>
      </c>
      <c r="E52" s="127">
        <f>J76</f>
        <v>22</v>
      </c>
      <c r="F52" s="127">
        <f t="shared" si="8"/>
        <v>0.70736062469427452</v>
      </c>
      <c r="G52" s="114">
        <f t="shared" si="9"/>
        <v>3.215275566792157E-2</v>
      </c>
      <c r="H52" s="127">
        <f>H39/H50</f>
        <v>21.133071174410933</v>
      </c>
      <c r="I52" s="127">
        <f t="shared" si="10"/>
        <v>1.5742894502833416</v>
      </c>
      <c r="J52" s="114">
        <f t="shared" si="11"/>
        <v>7.4494115753018258E-2</v>
      </c>
      <c r="K52" s="98"/>
      <c r="L52" s="98"/>
      <c r="M52" s="98"/>
      <c r="N52" s="98"/>
    </row>
    <row r="53" spans="3:14" ht="18" customHeight="1">
      <c r="C53" s="112" t="s">
        <v>186</v>
      </c>
      <c r="D53" s="127">
        <f>J111</f>
        <v>19.321520194141101</v>
      </c>
      <c r="E53" s="127">
        <f>J78</f>
        <v>19.173811889385657</v>
      </c>
      <c r="F53" s="127">
        <f t="shared" si="8"/>
        <v>0.14770830475544372</v>
      </c>
      <c r="G53" s="114">
        <f t="shared" si="9"/>
        <v>7.7036483724560205E-3</v>
      </c>
      <c r="H53" s="127">
        <f>H40/H26</f>
        <v>18.587443946188341</v>
      </c>
      <c r="I53" s="127">
        <f t="shared" si="10"/>
        <v>0.7340762479527605</v>
      </c>
      <c r="J53" s="114">
        <f t="shared" si="11"/>
        <v>3.9493125040643083E-2</v>
      </c>
      <c r="K53" s="98"/>
      <c r="L53" s="98"/>
      <c r="M53" s="98"/>
      <c r="N53" s="98"/>
    </row>
    <row r="54" spans="3:14" ht="18" customHeight="1">
      <c r="C54" s="109" t="s">
        <v>322</v>
      </c>
      <c r="D54" s="129">
        <f>J115</f>
        <v>5</v>
      </c>
      <c r="E54" s="129">
        <f>J82</f>
        <v>5</v>
      </c>
      <c r="F54" s="129">
        <f t="shared" si="8"/>
        <v>0</v>
      </c>
      <c r="G54" s="136">
        <f t="shared" si="9"/>
        <v>0</v>
      </c>
      <c r="H54" s="129">
        <f>SUM(Data!$G$200,Data!$G$201,Data!$G$202,Data!$G$203,Data!$G$204,Data!$G$205)/6</f>
        <v>4.9833333333333334</v>
      </c>
      <c r="I54" s="129">
        <f t="shared" si="10"/>
        <v>1.6666666666666607E-2</v>
      </c>
      <c r="J54" s="136">
        <f t="shared" si="11"/>
        <v>3.3444816053511588E-3</v>
      </c>
      <c r="K54" s="98"/>
      <c r="L54" s="98"/>
      <c r="M54" s="98"/>
      <c r="N54" s="98"/>
    </row>
    <row r="55" spans="3:14" ht="18" customHeight="1">
      <c r="C55" s="137" t="s">
        <v>323</v>
      </c>
      <c r="D55" s="138">
        <f>J116</f>
        <v>6026.666666666667</v>
      </c>
      <c r="E55" s="138">
        <f>J83</f>
        <v>6000</v>
      </c>
      <c r="F55" s="138">
        <f t="shared" si="8"/>
        <v>26.66666666666697</v>
      </c>
      <c r="G55" s="139">
        <f t="shared" si="9"/>
        <v>4.4444444444444947E-3</v>
      </c>
      <c r="H55" s="138">
        <f>H42/(H54*6)</f>
        <v>5791.7056856187291</v>
      </c>
      <c r="I55" s="138">
        <f t="shared" si="10"/>
        <v>234.96098104793782</v>
      </c>
      <c r="J55" s="139">
        <f t="shared" si="11"/>
        <v>4.0568529169457766E-2</v>
      </c>
      <c r="K55" s="98"/>
      <c r="L55" s="98"/>
      <c r="M55" s="98"/>
      <c r="N55" s="98"/>
    </row>
    <row r="56" spans="3:14" ht="18" customHeight="1"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</row>
    <row r="57" spans="3:14" ht="24" customHeight="1">
      <c r="C57" s="162" t="s">
        <v>324</v>
      </c>
      <c r="D57" s="163"/>
      <c r="E57" s="163"/>
      <c r="F57" s="163"/>
      <c r="G57" s="163"/>
      <c r="H57" s="163"/>
      <c r="I57" s="163"/>
      <c r="J57" s="164"/>
      <c r="K57" s="98"/>
      <c r="L57" s="98"/>
      <c r="M57" s="98"/>
      <c r="N57" s="98"/>
    </row>
    <row r="58" spans="3:14" ht="28.05" customHeight="1">
      <c r="C58" s="261" t="s">
        <v>325</v>
      </c>
      <c r="D58" s="261"/>
      <c r="E58" s="261"/>
      <c r="F58" s="261"/>
      <c r="G58" s="261"/>
      <c r="H58" s="261"/>
      <c r="I58" s="261"/>
      <c r="J58" s="261"/>
      <c r="K58" s="98"/>
      <c r="L58" s="98"/>
      <c r="M58" s="98"/>
      <c r="N58" s="98"/>
    </row>
    <row r="59" spans="3:14" ht="32" customHeight="1">
      <c r="C59" s="166" t="s">
        <v>218</v>
      </c>
      <c r="D59" s="169">
        <v>46023</v>
      </c>
      <c r="E59" s="169">
        <v>46054</v>
      </c>
      <c r="F59" s="169">
        <v>46082</v>
      </c>
      <c r="G59" s="169">
        <v>46113</v>
      </c>
      <c r="H59" s="169">
        <v>46143</v>
      </c>
      <c r="I59" s="169">
        <v>46174</v>
      </c>
      <c r="J59" s="168" t="s">
        <v>326</v>
      </c>
      <c r="K59" s="98"/>
      <c r="L59" s="98"/>
      <c r="M59" s="98"/>
      <c r="N59" s="98"/>
    </row>
    <row r="60" spans="3:14" ht="24" customHeight="1">
      <c r="C60" s="162" t="s">
        <v>173</v>
      </c>
      <c r="D60" s="163"/>
      <c r="E60" s="163"/>
      <c r="F60" s="163"/>
      <c r="G60" s="163"/>
      <c r="H60" s="163"/>
      <c r="I60" s="163"/>
      <c r="J60" s="164"/>
      <c r="K60" s="98"/>
      <c r="L60" s="98"/>
      <c r="M60" s="98"/>
      <c r="N60" s="98"/>
    </row>
    <row r="61" spans="3:14" ht="18" customHeight="1">
      <c r="C61" s="106" t="s">
        <v>223</v>
      </c>
      <c r="D61" s="107">
        <f>Budget!D10</f>
        <v>3100</v>
      </c>
      <c r="E61" s="107">
        <f>Budget!E10</f>
        <v>2800</v>
      </c>
      <c r="F61" s="107">
        <f>Budget!F10</f>
        <v>3100</v>
      </c>
      <c r="G61" s="107">
        <f>Budget!G10</f>
        <v>3000</v>
      </c>
      <c r="H61" s="107">
        <f>Budget!H10</f>
        <v>3100</v>
      </c>
      <c r="I61" s="107">
        <f>Budget!I10</f>
        <v>3000</v>
      </c>
      <c r="J61" s="108">
        <f>SUM(D61:I61)</f>
        <v>18100</v>
      </c>
      <c r="K61" s="98"/>
      <c r="L61" s="98"/>
      <c r="M61" s="98"/>
      <c r="N61" s="98"/>
    </row>
    <row r="62" spans="3:14" ht="18" customHeight="1">
      <c r="C62" s="109" t="s">
        <v>175</v>
      </c>
      <c r="D62" s="110">
        <f>Budget!D11</f>
        <v>1705</v>
      </c>
      <c r="E62" s="110">
        <f>Budget!E11</f>
        <v>1624</v>
      </c>
      <c r="F62" s="110">
        <f>Budget!F11</f>
        <v>2015</v>
      </c>
      <c r="G62" s="110">
        <f>Budget!G11</f>
        <v>2100</v>
      </c>
      <c r="H62" s="110">
        <f>Budget!H11</f>
        <v>2294</v>
      </c>
      <c r="I62" s="110">
        <f>Budget!I11</f>
        <v>2340</v>
      </c>
      <c r="J62" s="111">
        <f>SUM(D62:I62)</f>
        <v>12078</v>
      </c>
      <c r="K62" s="98"/>
      <c r="L62" s="98"/>
      <c r="M62" s="98"/>
      <c r="N62" s="98"/>
    </row>
    <row r="63" spans="3:14" ht="18" customHeight="1">
      <c r="C63" s="112" t="s">
        <v>225</v>
      </c>
      <c r="D63" s="113">
        <f>Budget!D12</f>
        <v>0.55000000000000004</v>
      </c>
      <c r="E63" s="113">
        <f>Budget!E12</f>
        <v>0.57999999999999996</v>
      </c>
      <c r="F63" s="113">
        <f>Budget!F12</f>
        <v>0.65</v>
      </c>
      <c r="G63" s="113">
        <f>Budget!G12</f>
        <v>0.7</v>
      </c>
      <c r="H63" s="113">
        <f>Budget!H12</f>
        <v>0.74</v>
      </c>
      <c r="I63" s="113">
        <f>Budget!I12</f>
        <v>0.78</v>
      </c>
      <c r="J63" s="114">
        <f>J62/J61</f>
        <v>0.66729281767955806</v>
      </c>
      <c r="K63" s="98"/>
      <c r="L63" s="98"/>
      <c r="M63" s="98"/>
      <c r="N63" s="98"/>
    </row>
    <row r="64" spans="3:14" ht="18" customHeight="1">
      <c r="C64" s="109" t="s">
        <v>226</v>
      </c>
      <c r="D64" s="115">
        <f>Budget!D14</f>
        <v>1193.5</v>
      </c>
      <c r="E64" s="115">
        <f>Budget!E14</f>
        <v>1120.56</v>
      </c>
      <c r="F64" s="115">
        <f>Budget!F14</f>
        <v>1370.1999999999998</v>
      </c>
      <c r="G64" s="115">
        <f>Budget!G14</f>
        <v>1386</v>
      </c>
      <c r="H64" s="115">
        <f>Budget!H14</f>
        <v>1491.1</v>
      </c>
      <c r="I64" s="115">
        <f>Budget!I14</f>
        <v>1497.6</v>
      </c>
      <c r="J64" s="116">
        <f>SUM(D64:I64)</f>
        <v>8058.9600000000009</v>
      </c>
      <c r="K64" s="98"/>
      <c r="L64" s="98"/>
      <c r="M64" s="98"/>
      <c r="N64" s="98"/>
    </row>
    <row r="65" spans="3:14" ht="18" customHeight="1">
      <c r="C65" s="109" t="s">
        <v>227</v>
      </c>
      <c r="D65" s="115">
        <f>Budget!D15</f>
        <v>511.5</v>
      </c>
      <c r="E65" s="115">
        <f>Budget!E15</f>
        <v>503.44</v>
      </c>
      <c r="F65" s="115">
        <f>Budget!F15</f>
        <v>644.80000000000007</v>
      </c>
      <c r="G65" s="115">
        <f>Budget!G15</f>
        <v>714</v>
      </c>
      <c r="H65" s="115">
        <f>Budget!H15</f>
        <v>802.9</v>
      </c>
      <c r="I65" s="115">
        <f>Budget!I15</f>
        <v>842.4</v>
      </c>
      <c r="J65" s="116">
        <f>SUM(D65:I65)</f>
        <v>4019.0400000000004</v>
      </c>
      <c r="K65" s="98"/>
      <c r="L65" s="98"/>
      <c r="M65" s="98"/>
      <c r="N65" s="98"/>
    </row>
    <row r="66" spans="3:14" ht="18" customHeight="1">
      <c r="C66" s="112" t="s">
        <v>178</v>
      </c>
      <c r="D66" s="113">
        <f>Budget!D13</f>
        <v>0.3</v>
      </c>
      <c r="E66" s="113">
        <f>Budget!E13</f>
        <v>0.31</v>
      </c>
      <c r="F66" s="113">
        <f>Budget!F13</f>
        <v>0.32</v>
      </c>
      <c r="G66" s="113">
        <f>Budget!G13</f>
        <v>0.34</v>
      </c>
      <c r="H66" s="113">
        <f>Budget!H13</f>
        <v>0.35</v>
      </c>
      <c r="I66" s="113">
        <f>Budget!I13</f>
        <v>0.36</v>
      </c>
      <c r="J66" s="114">
        <f>J65/J62</f>
        <v>0.33275707898658724</v>
      </c>
      <c r="K66" s="98"/>
      <c r="L66" s="98"/>
      <c r="M66" s="98"/>
      <c r="N66" s="98"/>
    </row>
    <row r="67" spans="3:14" ht="18" customHeight="1">
      <c r="C67" s="109" t="s">
        <v>180</v>
      </c>
      <c r="D67" s="117">
        <f>Budget!D16</f>
        <v>150</v>
      </c>
      <c r="E67" s="117">
        <f>Budget!E16</f>
        <v>152</v>
      </c>
      <c r="F67" s="117">
        <f>Budget!F16</f>
        <v>158</v>
      </c>
      <c r="G67" s="117">
        <f>Budget!G16</f>
        <v>164</v>
      </c>
      <c r="H67" s="117">
        <f>Budget!H16</f>
        <v>172</v>
      </c>
      <c r="I67" s="117">
        <f>Budget!I16</f>
        <v>180</v>
      </c>
      <c r="J67" s="118">
        <f>J71/J64</f>
        <v>163.69145894755647</v>
      </c>
      <c r="K67" s="98"/>
      <c r="L67" s="98"/>
      <c r="M67" s="98"/>
      <c r="N67" s="98"/>
    </row>
    <row r="68" spans="3:14" ht="18" customHeight="1">
      <c r="C68" s="109" t="s">
        <v>181</v>
      </c>
      <c r="D68" s="117">
        <f>Budget!D17</f>
        <v>132</v>
      </c>
      <c r="E68" s="117">
        <f>Budget!E17</f>
        <v>133</v>
      </c>
      <c r="F68" s="117">
        <f>Budget!F17</f>
        <v>137</v>
      </c>
      <c r="G68" s="117">
        <f>Budget!G17</f>
        <v>140</v>
      </c>
      <c r="H68" s="117">
        <f>Budget!H17</f>
        <v>145</v>
      </c>
      <c r="I68" s="117">
        <f>Budget!I17</f>
        <v>148</v>
      </c>
      <c r="J68" s="118">
        <f>J72/J65</f>
        <v>140.29937995143115</v>
      </c>
      <c r="K68" s="98"/>
      <c r="L68" s="98"/>
      <c r="M68" s="98"/>
      <c r="N68" s="98"/>
    </row>
    <row r="69" spans="3:14" ht="18" customHeight="1">
      <c r="C69" s="109" t="s">
        <v>232</v>
      </c>
      <c r="D69" s="117">
        <f>Budget!D24</f>
        <v>144.6</v>
      </c>
      <c r="E69" s="117">
        <f>Budget!E24</f>
        <v>146.11000000000001</v>
      </c>
      <c r="F69" s="117">
        <f>Budget!F24</f>
        <v>151.27999999999997</v>
      </c>
      <c r="G69" s="117">
        <f>Budget!G24</f>
        <v>155.84</v>
      </c>
      <c r="H69" s="117">
        <f>Budget!H24</f>
        <v>162.54999999999998</v>
      </c>
      <c r="I69" s="117">
        <f>Budget!I24</f>
        <v>168.48000000000002</v>
      </c>
      <c r="J69" s="118">
        <f>J73/J62</f>
        <v>155.90757906938234</v>
      </c>
      <c r="K69" s="98"/>
      <c r="L69" s="98"/>
      <c r="M69" s="98"/>
      <c r="N69" s="98"/>
    </row>
    <row r="70" spans="3:14" ht="18" customHeight="1">
      <c r="C70" s="109" t="s">
        <v>233</v>
      </c>
      <c r="D70" s="117">
        <f>Budget!D25</f>
        <v>79.53</v>
      </c>
      <c r="E70" s="117">
        <f>Budget!E25</f>
        <v>84.743800000000007</v>
      </c>
      <c r="F70" s="117">
        <f>Budget!F25</f>
        <v>98.331999999999979</v>
      </c>
      <c r="G70" s="117">
        <f>Budget!G25</f>
        <v>109.08799999999999</v>
      </c>
      <c r="H70" s="117">
        <f>Budget!H25</f>
        <v>120.28699999999999</v>
      </c>
      <c r="I70" s="117">
        <f>Budget!I25</f>
        <v>131.4144</v>
      </c>
      <c r="J70" s="118">
        <f>J73/J61</f>
        <v>104.03600773480662</v>
      </c>
      <c r="K70" s="98"/>
      <c r="L70" s="98"/>
      <c r="M70" s="98"/>
      <c r="N70" s="98"/>
    </row>
    <row r="71" spans="3:14" ht="18" customHeight="1">
      <c r="C71" s="109" t="s">
        <v>229</v>
      </c>
      <c r="D71" s="119">
        <f>Budget!D21</f>
        <v>179025</v>
      </c>
      <c r="E71" s="119">
        <f>Budget!E21</f>
        <v>170325.12</v>
      </c>
      <c r="F71" s="119">
        <f>Budget!F21</f>
        <v>216491.59999999998</v>
      </c>
      <c r="G71" s="119">
        <f>Budget!G21</f>
        <v>227304</v>
      </c>
      <c r="H71" s="119">
        <f>Budget!H21</f>
        <v>256469.19999999998</v>
      </c>
      <c r="I71" s="119">
        <f>Budget!I21</f>
        <v>269568</v>
      </c>
      <c r="J71" s="120">
        <f>SUM(D71:I71)</f>
        <v>1319182.92</v>
      </c>
      <c r="K71" s="98"/>
      <c r="L71" s="98"/>
      <c r="M71" s="98"/>
      <c r="N71" s="98"/>
    </row>
    <row r="72" spans="3:14" ht="18" customHeight="1">
      <c r="C72" s="109" t="s">
        <v>230</v>
      </c>
      <c r="D72" s="119">
        <f>Budget!D22</f>
        <v>67518</v>
      </c>
      <c r="E72" s="119">
        <f>Budget!E22</f>
        <v>66957.52</v>
      </c>
      <c r="F72" s="119">
        <f>Budget!F22</f>
        <v>88337.600000000006</v>
      </c>
      <c r="G72" s="119">
        <f>Budget!G22</f>
        <v>99960</v>
      </c>
      <c r="H72" s="119">
        <f>Budget!H22</f>
        <v>116420.5</v>
      </c>
      <c r="I72" s="119">
        <f>Budget!I22</f>
        <v>124675.2</v>
      </c>
      <c r="J72" s="120">
        <f>SUM(D72:I72)</f>
        <v>563868.81999999995</v>
      </c>
      <c r="K72" s="98"/>
      <c r="L72" s="98"/>
      <c r="M72" s="98"/>
      <c r="N72" s="98"/>
    </row>
    <row r="73" spans="3:14" ht="18" customHeight="1">
      <c r="C73" s="121" t="s">
        <v>231</v>
      </c>
      <c r="D73" s="122">
        <f>Budget!D23</f>
        <v>246543</v>
      </c>
      <c r="E73" s="122">
        <f>Budget!E23</f>
        <v>237282.64</v>
      </c>
      <c r="F73" s="122">
        <f>Budget!F23</f>
        <v>304829.19999999995</v>
      </c>
      <c r="G73" s="122">
        <f>Budget!G23</f>
        <v>327264</v>
      </c>
      <c r="H73" s="122">
        <f>Budget!H23</f>
        <v>372889.69999999995</v>
      </c>
      <c r="I73" s="122">
        <f>Budget!I23</f>
        <v>394243.2</v>
      </c>
      <c r="J73" s="123">
        <f>SUM(D73:I73)</f>
        <v>1883051.7399999998</v>
      </c>
      <c r="K73" s="98"/>
      <c r="L73" s="98"/>
      <c r="M73" s="98"/>
      <c r="N73" s="98"/>
    </row>
    <row r="74" spans="3:14" ht="18" customHeight="1">
      <c r="C74" s="109" t="s">
        <v>236</v>
      </c>
      <c r="D74" s="115">
        <f>Budget!D31</f>
        <v>954.80000000000007</v>
      </c>
      <c r="E74" s="115">
        <f>Budget!E31</f>
        <v>893.2</v>
      </c>
      <c r="F74" s="115">
        <f>Budget!F31</f>
        <v>1088.1000000000001</v>
      </c>
      <c r="G74" s="115">
        <f>Budget!G31</f>
        <v>1113</v>
      </c>
      <c r="H74" s="115">
        <f>Budget!H31</f>
        <v>1192.8800000000001</v>
      </c>
      <c r="I74" s="115">
        <f>Budget!I31</f>
        <v>1193.4000000000001</v>
      </c>
      <c r="J74" s="116">
        <f>SUM(D74:I74)</f>
        <v>6435.380000000001</v>
      </c>
      <c r="K74" s="98"/>
      <c r="L74" s="98"/>
      <c r="M74" s="98"/>
      <c r="N74" s="98"/>
    </row>
    <row r="75" spans="3:14" ht="18" customHeight="1">
      <c r="C75" s="112" t="s">
        <v>183</v>
      </c>
      <c r="D75" s="124">
        <f>Budget!D29</f>
        <v>0.56000000000000005</v>
      </c>
      <c r="E75" s="124">
        <f>Budget!E29</f>
        <v>0.55000000000000004</v>
      </c>
      <c r="F75" s="124">
        <f>Budget!F29</f>
        <v>0.54</v>
      </c>
      <c r="G75" s="124">
        <f>Budget!G29</f>
        <v>0.53</v>
      </c>
      <c r="H75" s="124">
        <f>Budget!H29</f>
        <v>0.52</v>
      </c>
      <c r="I75" s="124">
        <f>Budget!I29</f>
        <v>0.51</v>
      </c>
      <c r="J75" s="125">
        <f>J74/J62</f>
        <v>0.53281834740851142</v>
      </c>
      <c r="K75" s="98"/>
      <c r="L75" s="98"/>
      <c r="M75" s="98"/>
      <c r="N75" s="98"/>
    </row>
    <row r="76" spans="3:14" ht="18" customHeight="1">
      <c r="C76" s="112" t="s">
        <v>321</v>
      </c>
      <c r="D76" s="126">
        <f>Budget!D30</f>
        <v>22</v>
      </c>
      <c r="E76" s="126">
        <f>Budget!E30</f>
        <v>22</v>
      </c>
      <c r="F76" s="126">
        <f>Budget!F30</f>
        <v>22</v>
      </c>
      <c r="G76" s="126">
        <f>Budget!G30</f>
        <v>22</v>
      </c>
      <c r="H76" s="126">
        <f>Budget!H30</f>
        <v>22</v>
      </c>
      <c r="I76" s="126">
        <f>Budget!I30</f>
        <v>22</v>
      </c>
      <c r="J76" s="127">
        <f>J77/J74</f>
        <v>22</v>
      </c>
      <c r="K76" s="98"/>
      <c r="L76" s="98"/>
      <c r="M76" s="98"/>
      <c r="N76" s="98"/>
    </row>
    <row r="77" spans="3:14" ht="18" customHeight="1">
      <c r="C77" s="109" t="s">
        <v>237</v>
      </c>
      <c r="D77" s="119">
        <f>Budget!D32</f>
        <v>21005.600000000002</v>
      </c>
      <c r="E77" s="119">
        <f>Budget!E32</f>
        <v>19650.400000000001</v>
      </c>
      <c r="F77" s="119">
        <f>Budget!F32</f>
        <v>23938.200000000004</v>
      </c>
      <c r="G77" s="119">
        <f>Budget!G32</f>
        <v>24486</v>
      </c>
      <c r="H77" s="119">
        <f>Budget!H32</f>
        <v>26243.360000000001</v>
      </c>
      <c r="I77" s="119">
        <f>Budget!I32</f>
        <v>26254.800000000003</v>
      </c>
      <c r="J77" s="120">
        <f>SUM(D77:I77)</f>
        <v>141578.36000000002</v>
      </c>
      <c r="K77" s="98"/>
      <c r="L77" s="98"/>
      <c r="M77" s="98"/>
      <c r="N77" s="98"/>
    </row>
    <row r="78" spans="3:14" ht="18" customHeight="1">
      <c r="C78" s="112" t="s">
        <v>186</v>
      </c>
      <c r="D78" s="126">
        <f>Budget!D33</f>
        <v>18.5</v>
      </c>
      <c r="E78" s="126">
        <f>Budget!E33</f>
        <v>18.7</v>
      </c>
      <c r="F78" s="126">
        <f>Budget!F33</f>
        <v>19</v>
      </c>
      <c r="G78" s="126">
        <f>Budget!G33</f>
        <v>19.2</v>
      </c>
      <c r="H78" s="126">
        <f>Budget!H33</f>
        <v>19.5</v>
      </c>
      <c r="I78" s="126">
        <f>Budget!I33</f>
        <v>19.8</v>
      </c>
      <c r="J78" s="127">
        <f>J79/J62</f>
        <v>19.173811889385657</v>
      </c>
      <c r="K78" s="98"/>
      <c r="L78" s="98"/>
      <c r="M78" s="98"/>
      <c r="N78" s="98"/>
    </row>
    <row r="79" spans="3:14" ht="18" customHeight="1">
      <c r="C79" s="109" t="s">
        <v>238</v>
      </c>
      <c r="D79" s="119">
        <f>Budget!D34</f>
        <v>31542.5</v>
      </c>
      <c r="E79" s="119">
        <f>Budget!E34</f>
        <v>30368.799999999999</v>
      </c>
      <c r="F79" s="119">
        <f>Budget!F34</f>
        <v>38285</v>
      </c>
      <c r="G79" s="119">
        <f>Budget!G34</f>
        <v>40320</v>
      </c>
      <c r="H79" s="119">
        <f>Budget!H34</f>
        <v>44733</v>
      </c>
      <c r="I79" s="119">
        <f>Budget!I34</f>
        <v>46332</v>
      </c>
      <c r="J79" s="120">
        <f>SUM(D79:I79)</f>
        <v>231581.3</v>
      </c>
      <c r="K79" s="98"/>
      <c r="L79" s="98"/>
      <c r="M79" s="98"/>
      <c r="N79" s="98"/>
    </row>
    <row r="80" spans="3:14" ht="18" customHeight="1">
      <c r="C80" s="112" t="s">
        <v>187</v>
      </c>
      <c r="D80" s="113">
        <f>Budget!D35</f>
        <v>0.04</v>
      </c>
      <c r="E80" s="113">
        <f>Budget!E35</f>
        <v>0.04</v>
      </c>
      <c r="F80" s="113">
        <f>Budget!F35</f>
        <v>0.04</v>
      </c>
      <c r="G80" s="113">
        <f>Budget!G35</f>
        <v>0.04</v>
      </c>
      <c r="H80" s="113">
        <f>Budget!H35</f>
        <v>0.04</v>
      </c>
      <c r="I80" s="113">
        <f>Budget!I35</f>
        <v>0.04</v>
      </c>
      <c r="J80" s="114">
        <f>J81/J73</f>
        <v>0.04</v>
      </c>
      <c r="K80" s="98"/>
      <c r="L80" s="98"/>
      <c r="M80" s="98"/>
      <c r="N80" s="98"/>
    </row>
    <row r="81" spans="3:14" ht="18" customHeight="1">
      <c r="C81" s="109" t="s">
        <v>239</v>
      </c>
      <c r="D81" s="119">
        <f>Budget!D36</f>
        <v>9861.7199999999993</v>
      </c>
      <c r="E81" s="119">
        <f>Budget!E36</f>
        <v>9491.3056000000015</v>
      </c>
      <c r="F81" s="119">
        <f>Budget!F36</f>
        <v>12193.167999999998</v>
      </c>
      <c r="G81" s="119">
        <f>Budget!G36</f>
        <v>13090.56</v>
      </c>
      <c r="H81" s="119">
        <f>Budget!H36</f>
        <v>14915.587999999998</v>
      </c>
      <c r="I81" s="119">
        <f>Budget!I36</f>
        <v>15769.728000000001</v>
      </c>
      <c r="J81" s="120">
        <f>SUM(D81:I81)</f>
        <v>75322.069599999988</v>
      </c>
      <c r="K81" s="98"/>
      <c r="L81" s="98"/>
      <c r="M81" s="98"/>
      <c r="N81" s="98"/>
    </row>
    <row r="82" spans="3:14" ht="18" customHeight="1">
      <c r="C82" s="109" t="s">
        <v>322</v>
      </c>
      <c r="D82" s="128">
        <f>Budget!D40</f>
        <v>5</v>
      </c>
      <c r="E82" s="128">
        <f>Budget!E40</f>
        <v>5</v>
      </c>
      <c r="F82" s="128">
        <f>Budget!F40</f>
        <v>5</v>
      </c>
      <c r="G82" s="128">
        <f>Budget!G40</f>
        <v>5</v>
      </c>
      <c r="H82" s="128">
        <f>Budget!H40</f>
        <v>5</v>
      </c>
      <c r="I82" s="128">
        <f>Budget!I40</f>
        <v>5</v>
      </c>
      <c r="J82" s="129">
        <f>SUM(D82:I82)/6</f>
        <v>5</v>
      </c>
      <c r="K82" s="98"/>
      <c r="L82" s="98"/>
      <c r="M82" s="98"/>
      <c r="N82" s="98"/>
    </row>
    <row r="83" spans="3:14" ht="18" customHeight="1">
      <c r="C83" s="109" t="s">
        <v>323</v>
      </c>
      <c r="D83" s="117">
        <f>Budget!D41</f>
        <v>6000</v>
      </c>
      <c r="E83" s="117">
        <f>Budget!E41</f>
        <v>6000</v>
      </c>
      <c r="F83" s="117">
        <f>Budget!F41</f>
        <v>6000</v>
      </c>
      <c r="G83" s="117">
        <f>Budget!G41</f>
        <v>6000</v>
      </c>
      <c r="H83" s="117">
        <f>Budget!H41</f>
        <v>6000</v>
      </c>
      <c r="I83" s="117">
        <f>Budget!I41</f>
        <v>6000</v>
      </c>
      <c r="J83" s="118">
        <f>J84/SUM(D82:I82)</f>
        <v>6000</v>
      </c>
      <c r="K83" s="98"/>
      <c r="L83" s="98"/>
      <c r="M83" s="98"/>
      <c r="N83" s="98"/>
    </row>
    <row r="84" spans="3:14" ht="18" customHeight="1">
      <c r="C84" s="109" t="s">
        <v>280</v>
      </c>
      <c r="D84" s="119">
        <f>Budget!D42</f>
        <v>30000</v>
      </c>
      <c r="E84" s="119">
        <f>Budget!E42</f>
        <v>30000</v>
      </c>
      <c r="F84" s="119">
        <f>Budget!F42</f>
        <v>30000</v>
      </c>
      <c r="G84" s="119">
        <f>Budget!G42</f>
        <v>30000</v>
      </c>
      <c r="H84" s="119">
        <f>Budget!H42</f>
        <v>30000</v>
      </c>
      <c r="I84" s="119">
        <f>Budget!I42</f>
        <v>30000</v>
      </c>
      <c r="J84" s="120">
        <f t="shared" ref="J84:J89" si="12">SUM(D84:I84)</f>
        <v>180000</v>
      </c>
      <c r="K84" s="98"/>
      <c r="L84" s="98"/>
      <c r="M84" s="98"/>
      <c r="N84" s="98"/>
    </row>
    <row r="85" spans="3:14" ht="18" customHeight="1">
      <c r="C85" s="109" t="s">
        <v>67</v>
      </c>
      <c r="D85" s="119">
        <f>Budget!D43</f>
        <v>78000</v>
      </c>
      <c r="E85" s="119">
        <f>Budget!E43</f>
        <v>78000</v>
      </c>
      <c r="F85" s="119">
        <f>Budget!F43</f>
        <v>78000</v>
      </c>
      <c r="G85" s="119">
        <f>Budget!G43</f>
        <v>78000</v>
      </c>
      <c r="H85" s="119">
        <f>Budget!H43</f>
        <v>78000</v>
      </c>
      <c r="I85" s="119">
        <f>Budget!I43</f>
        <v>78000</v>
      </c>
      <c r="J85" s="120">
        <f t="shared" si="12"/>
        <v>468000</v>
      </c>
      <c r="K85" s="98"/>
      <c r="L85" s="98"/>
      <c r="M85" s="98"/>
      <c r="N85" s="98"/>
    </row>
    <row r="86" spans="3:14" ht="18" customHeight="1">
      <c r="C86" s="109" t="s">
        <v>191</v>
      </c>
      <c r="D86" s="119">
        <f>Budget!D44</f>
        <v>28000</v>
      </c>
      <c r="E86" s="119">
        <f>Budget!E44</f>
        <v>28100</v>
      </c>
      <c r="F86" s="119">
        <f>Budget!F44</f>
        <v>28500</v>
      </c>
      <c r="G86" s="119">
        <f>Budget!G44</f>
        <v>28600</v>
      </c>
      <c r="H86" s="119">
        <f>Budget!H44</f>
        <v>28900</v>
      </c>
      <c r="I86" s="119">
        <f>Budget!I44</f>
        <v>29200</v>
      </c>
      <c r="J86" s="120">
        <f t="shared" si="12"/>
        <v>171300</v>
      </c>
      <c r="K86" s="98"/>
      <c r="L86" s="98"/>
      <c r="M86" s="98"/>
      <c r="N86" s="98"/>
    </row>
    <row r="87" spans="3:14" ht="18" customHeight="1">
      <c r="C87" s="109" t="s">
        <v>71</v>
      </c>
      <c r="D87" s="119">
        <f>Budget!D45</f>
        <v>10000</v>
      </c>
      <c r="E87" s="119">
        <f>Budget!E45</f>
        <v>9000</v>
      </c>
      <c r="F87" s="119">
        <f>Budget!F45</f>
        <v>11000</v>
      </c>
      <c r="G87" s="119">
        <f>Budget!G45</f>
        <v>13000</v>
      </c>
      <c r="H87" s="119">
        <f>Budget!H45</f>
        <v>14000</v>
      </c>
      <c r="I87" s="119">
        <f>Budget!I45</f>
        <v>24000</v>
      </c>
      <c r="J87" s="120">
        <f t="shared" si="12"/>
        <v>81000</v>
      </c>
      <c r="K87" s="98"/>
      <c r="L87" s="98"/>
      <c r="M87" s="98"/>
      <c r="N87" s="98"/>
    </row>
    <row r="88" spans="3:14" ht="18" customHeight="1">
      <c r="C88" s="121" t="s">
        <v>245</v>
      </c>
      <c r="D88" s="122">
        <f>Budget!D49</f>
        <v>208409.82</v>
      </c>
      <c r="E88" s="122">
        <f>Budget!E49</f>
        <v>204610.5056</v>
      </c>
      <c r="F88" s="122">
        <f>Budget!F49</f>
        <v>221916.36800000002</v>
      </c>
      <c r="G88" s="122">
        <f>Budget!G49</f>
        <v>227496.56</v>
      </c>
      <c r="H88" s="122">
        <f>Budget!H49</f>
        <v>236791.948</v>
      </c>
      <c r="I88" s="122">
        <f>Budget!I49</f>
        <v>249556.52799999999</v>
      </c>
      <c r="J88" s="123">
        <f t="shared" si="12"/>
        <v>1348781.7296</v>
      </c>
      <c r="K88" s="98"/>
      <c r="L88" s="98"/>
      <c r="M88" s="98"/>
      <c r="N88" s="98"/>
    </row>
    <row r="89" spans="3:14" ht="18" customHeight="1">
      <c r="C89" s="121" t="s">
        <v>246</v>
      </c>
      <c r="D89" s="122">
        <f>Budget!D50</f>
        <v>38133.179999999993</v>
      </c>
      <c r="E89" s="122">
        <f>Budget!E50</f>
        <v>32672.13440000001</v>
      </c>
      <c r="F89" s="122">
        <f>Budget!F50</f>
        <v>82912.831999999937</v>
      </c>
      <c r="G89" s="122">
        <f>Budget!G50</f>
        <v>99767.44</v>
      </c>
      <c r="H89" s="122">
        <f>Budget!H50</f>
        <v>136097.75199999995</v>
      </c>
      <c r="I89" s="122">
        <f>Budget!I50</f>
        <v>144686.67200000002</v>
      </c>
      <c r="J89" s="123">
        <f t="shared" si="12"/>
        <v>534270.01039999991</v>
      </c>
      <c r="K89" s="98"/>
      <c r="L89" s="98"/>
      <c r="M89" s="98"/>
      <c r="N89" s="98"/>
    </row>
    <row r="90" spans="3:14" ht="18" customHeight="1">
      <c r="C90" s="130" t="s">
        <v>247</v>
      </c>
      <c r="D90" s="131">
        <f>Budget!D51</f>
        <v>0.15467151774741117</v>
      </c>
      <c r="E90" s="131">
        <f>Budget!E51</f>
        <v>0.13769289822466577</v>
      </c>
      <c r="F90" s="131">
        <f>Budget!F51</f>
        <v>0.27199766951460014</v>
      </c>
      <c r="G90" s="131">
        <f>Budget!G51</f>
        <v>0.30485308497115482</v>
      </c>
      <c r="H90" s="131">
        <f>Budget!H51</f>
        <v>0.36498125853301921</v>
      </c>
      <c r="I90" s="131">
        <f>Budget!I51</f>
        <v>0.36699852273926353</v>
      </c>
      <c r="J90" s="132">
        <f>J89/J73</f>
        <v>0.28372561361484416</v>
      </c>
      <c r="K90" s="98"/>
      <c r="L90" s="98"/>
      <c r="M90" s="98"/>
      <c r="N90" s="98"/>
    </row>
    <row r="91" spans="3:14" ht="18" customHeight="1"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</row>
    <row r="92" spans="3:14" ht="32" customHeight="1">
      <c r="C92" s="166" t="s">
        <v>218</v>
      </c>
      <c r="D92" s="169">
        <v>46023</v>
      </c>
      <c r="E92" s="169">
        <v>46054</v>
      </c>
      <c r="F92" s="169">
        <v>46082</v>
      </c>
      <c r="G92" s="169">
        <v>46113</v>
      </c>
      <c r="H92" s="169">
        <v>46143</v>
      </c>
      <c r="I92" s="169">
        <v>46174</v>
      </c>
      <c r="J92" s="168" t="s">
        <v>326</v>
      </c>
      <c r="K92" s="98"/>
      <c r="L92" s="98"/>
      <c r="M92" s="98"/>
      <c r="N92" s="98"/>
    </row>
    <row r="93" spans="3:14" ht="24" customHeight="1">
      <c r="C93" s="162" t="s">
        <v>327</v>
      </c>
      <c r="D93" s="163"/>
      <c r="E93" s="163"/>
      <c r="F93" s="163"/>
      <c r="G93" s="163"/>
      <c r="H93" s="163"/>
      <c r="I93" s="163"/>
      <c r="J93" s="164"/>
      <c r="K93" s="98"/>
      <c r="L93" s="98"/>
      <c r="M93" s="98"/>
      <c r="N93" s="98"/>
    </row>
    <row r="94" spans="3:14" ht="18" customHeight="1">
      <c r="C94" s="106" t="s">
        <v>223</v>
      </c>
      <c r="D94" s="108">
        <f t="shared" ref="D94:I94" si="13">100*DAY(DATE(YEAR(D$92),MONTH(D$92)+1,0))</f>
        <v>3100</v>
      </c>
      <c r="E94" s="108">
        <f t="shared" si="13"/>
        <v>2800</v>
      </c>
      <c r="F94" s="108">
        <f t="shared" si="13"/>
        <v>3100</v>
      </c>
      <c r="G94" s="108">
        <f t="shared" si="13"/>
        <v>3000</v>
      </c>
      <c r="H94" s="108">
        <f t="shared" si="13"/>
        <v>3100</v>
      </c>
      <c r="I94" s="108">
        <f t="shared" si="13"/>
        <v>3000</v>
      </c>
      <c r="J94" s="108">
        <f>SUM(D94:I94)</f>
        <v>18100</v>
      </c>
      <c r="K94" s="98"/>
      <c r="L94" s="98"/>
      <c r="M94" s="98"/>
      <c r="N94" s="98"/>
    </row>
    <row r="95" spans="3:14" ht="18" customHeight="1">
      <c r="C95" s="109" t="s">
        <v>175</v>
      </c>
      <c r="D95" s="111">
        <f t="shared" ref="D95:I95" si="14">D97+D98</f>
        <v>1658</v>
      </c>
      <c r="E95" s="111">
        <f t="shared" si="14"/>
        <v>1604</v>
      </c>
      <c r="F95" s="111">
        <f t="shared" si="14"/>
        <v>1922</v>
      </c>
      <c r="G95" s="111">
        <f t="shared" si="14"/>
        <v>1950</v>
      </c>
      <c r="H95" s="111">
        <f t="shared" si="14"/>
        <v>2139</v>
      </c>
      <c r="I95" s="111">
        <f t="shared" si="14"/>
        <v>2265</v>
      </c>
      <c r="J95" s="111">
        <f>SUM(D95:I95)</f>
        <v>11538</v>
      </c>
      <c r="K95" s="98"/>
      <c r="L95" s="98"/>
      <c r="M95" s="98"/>
      <c r="N95" s="98"/>
    </row>
    <row r="96" spans="3:14" ht="18" customHeight="1">
      <c r="C96" s="112" t="s">
        <v>225</v>
      </c>
      <c r="D96" s="114">
        <f t="shared" ref="D96:J96" si="15">D95/D94</f>
        <v>0.53483870967741931</v>
      </c>
      <c r="E96" s="114">
        <f t="shared" si="15"/>
        <v>0.57285714285714284</v>
      </c>
      <c r="F96" s="114">
        <f t="shared" si="15"/>
        <v>0.62</v>
      </c>
      <c r="G96" s="114">
        <f t="shared" si="15"/>
        <v>0.65</v>
      </c>
      <c r="H96" s="114">
        <f t="shared" si="15"/>
        <v>0.69</v>
      </c>
      <c r="I96" s="114">
        <f t="shared" si="15"/>
        <v>0.755</v>
      </c>
      <c r="J96" s="114">
        <f t="shared" si="15"/>
        <v>0.63745856353591157</v>
      </c>
      <c r="K96" s="98"/>
      <c r="L96" s="98"/>
      <c r="M96" s="98"/>
      <c r="N96" s="98"/>
    </row>
    <row r="97" spans="3:14" ht="18" customHeight="1">
      <c r="C97" s="109" t="s">
        <v>226</v>
      </c>
      <c r="D97" s="115">
        <f>SUMIFS(Data!$F$158:$F$193,Data!$D$158:$D$193,D$92,Data!$E$158:$E$193,"Retail/Leisure")</f>
        <v>1144</v>
      </c>
      <c r="E97" s="115">
        <f>SUMIFS(Data!$F$158:$F$193,Data!$D$158:$D$193,E$92,Data!$E$158:$E$193,"Retail/Leisure")</f>
        <v>1075</v>
      </c>
      <c r="F97" s="115">
        <f>SUMIFS(Data!$F$158:$F$193,Data!$D$158:$D$193,F$92,Data!$E$158:$E$193,"Retail/Leisure")</f>
        <v>1192</v>
      </c>
      <c r="G97" s="115">
        <f>SUMIFS(Data!$F$158:$F$193,Data!$D$158:$D$193,G$92,Data!$E$158:$E$193,"Retail/Leisure")</f>
        <v>1111</v>
      </c>
      <c r="H97" s="115">
        <f>SUMIFS(Data!$F$158:$F$193,Data!$D$158:$D$193,H$92,Data!$E$158:$E$193,"Retail/Leisure")</f>
        <v>1176</v>
      </c>
      <c r="I97" s="115">
        <f>SUMIFS(Data!$F$158:$F$193,Data!$D$158:$D$193,I$92,Data!$E$158:$E$193,"Retail/Leisure")</f>
        <v>1314</v>
      </c>
      <c r="J97" s="116">
        <f>SUM(D97:I97)</f>
        <v>7012</v>
      </c>
      <c r="K97" s="98"/>
      <c r="L97" s="98"/>
      <c r="M97" s="98"/>
      <c r="N97" s="98"/>
    </row>
    <row r="98" spans="3:14" ht="18" customHeight="1">
      <c r="C98" s="109" t="s">
        <v>227</v>
      </c>
      <c r="D98" s="115">
        <f>SUMIFS(Data!$F$158:$F$193,Data!$D$158:$D$193,D$92,Data!$E$158:$E$193,"Negotiated Corporate")</f>
        <v>514</v>
      </c>
      <c r="E98" s="115">
        <f>SUMIFS(Data!$F$158:$F$193,Data!$D$158:$D$193,E$92,Data!$E$158:$E$193,"Negotiated Corporate")</f>
        <v>529</v>
      </c>
      <c r="F98" s="115">
        <f>SUMIFS(Data!$F$158:$F$193,Data!$D$158:$D$193,F$92,Data!$E$158:$E$193,"Negotiated Corporate")</f>
        <v>730</v>
      </c>
      <c r="G98" s="115">
        <f>SUMIFS(Data!$F$158:$F$193,Data!$D$158:$D$193,G$92,Data!$E$158:$E$193,"Negotiated Corporate")</f>
        <v>839</v>
      </c>
      <c r="H98" s="115">
        <f>SUMIFS(Data!$F$158:$F$193,Data!$D$158:$D$193,H$92,Data!$E$158:$E$193,"Negotiated Corporate")</f>
        <v>963</v>
      </c>
      <c r="I98" s="115">
        <f>SUMIFS(Data!$F$158:$F$193,Data!$D$158:$D$193,I$92,Data!$E$158:$E$193,"Negotiated Corporate")</f>
        <v>951</v>
      </c>
      <c r="J98" s="116">
        <f>SUM(D98:I98)</f>
        <v>4526</v>
      </c>
      <c r="K98" s="98"/>
      <c r="L98" s="98"/>
      <c r="M98" s="98"/>
      <c r="N98" s="98"/>
    </row>
    <row r="99" spans="3:14" ht="18" customHeight="1">
      <c r="C99" s="112" t="s">
        <v>178</v>
      </c>
      <c r="D99" s="114">
        <f t="shared" ref="D99:J99" si="16">D98/D95</f>
        <v>0.3100120627261761</v>
      </c>
      <c r="E99" s="114">
        <f t="shared" si="16"/>
        <v>0.32980049875311723</v>
      </c>
      <c r="F99" s="114">
        <f t="shared" si="16"/>
        <v>0.37981269510926119</v>
      </c>
      <c r="G99" s="114">
        <f t="shared" si="16"/>
        <v>0.43025641025641026</v>
      </c>
      <c r="H99" s="114">
        <f t="shared" si="16"/>
        <v>0.45021037868162694</v>
      </c>
      <c r="I99" s="114">
        <f t="shared" si="16"/>
        <v>0.41986754966887418</v>
      </c>
      <c r="J99" s="114">
        <f t="shared" si="16"/>
        <v>0.39226902409429709</v>
      </c>
      <c r="K99" s="98"/>
      <c r="L99" s="98"/>
      <c r="M99" s="98"/>
      <c r="N99" s="98"/>
    </row>
    <row r="100" spans="3:14" ht="18" customHeight="1">
      <c r="C100" s="109" t="s">
        <v>180</v>
      </c>
      <c r="D100" s="118">
        <f t="shared" ref="D100:J101" si="17">D104/D97</f>
        <v>151</v>
      </c>
      <c r="E100" s="118">
        <f t="shared" si="17"/>
        <v>153</v>
      </c>
      <c r="F100" s="118">
        <f t="shared" si="17"/>
        <v>158.5</v>
      </c>
      <c r="G100" s="118">
        <f t="shared" si="17"/>
        <v>164</v>
      </c>
      <c r="H100" s="118">
        <f t="shared" si="17"/>
        <v>171</v>
      </c>
      <c r="I100" s="118">
        <f t="shared" si="17"/>
        <v>181</v>
      </c>
      <c r="J100" s="118">
        <f t="shared" si="17"/>
        <v>163.61737022247576</v>
      </c>
      <c r="K100" s="98"/>
      <c r="L100" s="98"/>
      <c r="M100" s="98"/>
      <c r="N100" s="98"/>
    </row>
    <row r="101" spans="3:14" ht="18" customHeight="1">
      <c r="C101" s="109" t="s">
        <v>181</v>
      </c>
      <c r="D101" s="118">
        <f t="shared" si="17"/>
        <v>132.5</v>
      </c>
      <c r="E101" s="118">
        <f t="shared" si="17"/>
        <v>133</v>
      </c>
      <c r="F101" s="118">
        <f t="shared" si="17"/>
        <v>137.5</v>
      </c>
      <c r="G101" s="118">
        <f t="shared" si="17"/>
        <v>140.5</v>
      </c>
      <c r="H101" s="118">
        <f t="shared" si="17"/>
        <v>145</v>
      </c>
      <c r="I101" s="118">
        <f t="shared" si="17"/>
        <v>148.5</v>
      </c>
      <c r="J101" s="118">
        <f t="shared" si="17"/>
        <v>140.86942112240388</v>
      </c>
      <c r="K101" s="98"/>
      <c r="L101" s="98"/>
      <c r="M101" s="98"/>
      <c r="N101" s="98"/>
    </row>
    <row r="102" spans="3:14" ht="18" customHeight="1">
      <c r="C102" s="109" t="s">
        <v>232</v>
      </c>
      <c r="D102" s="118">
        <f t="shared" ref="D102:J102" si="18">D106/D95</f>
        <v>145.26477683956574</v>
      </c>
      <c r="E102" s="118">
        <f t="shared" si="18"/>
        <v>146.40399002493766</v>
      </c>
      <c r="F102" s="118">
        <f t="shared" si="18"/>
        <v>150.52393340270552</v>
      </c>
      <c r="G102" s="118">
        <f t="shared" si="18"/>
        <v>153.88897435897437</v>
      </c>
      <c r="H102" s="118">
        <f t="shared" si="18"/>
        <v>159.29453015427771</v>
      </c>
      <c r="I102" s="118">
        <f t="shared" si="18"/>
        <v>167.35430463576159</v>
      </c>
      <c r="J102" s="118">
        <f t="shared" si="18"/>
        <v>154.69405442884383</v>
      </c>
      <c r="K102" s="98"/>
      <c r="L102" s="98"/>
      <c r="M102" s="98"/>
      <c r="N102" s="98"/>
    </row>
    <row r="103" spans="3:14" ht="18" customHeight="1">
      <c r="C103" s="109" t="s">
        <v>233</v>
      </c>
      <c r="D103" s="118">
        <f t="shared" ref="D103:J103" si="19">D106/D94</f>
        <v>77.693225806451608</v>
      </c>
      <c r="E103" s="118">
        <f t="shared" si="19"/>
        <v>83.868571428571428</v>
      </c>
      <c r="F103" s="118">
        <f t="shared" si="19"/>
        <v>93.324838709677422</v>
      </c>
      <c r="G103" s="118">
        <f t="shared" si="19"/>
        <v>100.02783333333333</v>
      </c>
      <c r="H103" s="118">
        <f t="shared" si="19"/>
        <v>109.91322580645161</v>
      </c>
      <c r="I103" s="118">
        <f t="shared" si="19"/>
        <v>126.35250000000001</v>
      </c>
      <c r="J103" s="118">
        <f t="shared" si="19"/>
        <v>98.611049723756906</v>
      </c>
      <c r="K103" s="98"/>
      <c r="L103" s="98"/>
      <c r="M103" s="98"/>
      <c r="N103" s="98"/>
    </row>
    <row r="104" spans="3:14" ht="18" customHeight="1">
      <c r="C104" s="109" t="s">
        <v>229</v>
      </c>
      <c r="D104" s="119">
        <f>SUMIFS(Data!$G$158:$G$193,Data!$D$158:$D$193,D$92,Data!$E$158:$E$193,"Retail/Leisure")</f>
        <v>172744</v>
      </c>
      <c r="E104" s="119">
        <f>SUMIFS(Data!$G$158:$G$193,Data!$D$158:$D$193,E$92,Data!$E$158:$E$193,"Retail/Leisure")</f>
        <v>164475</v>
      </c>
      <c r="F104" s="119">
        <f>SUMIFS(Data!$G$158:$G$193,Data!$D$158:$D$193,F$92,Data!$E$158:$E$193,"Retail/Leisure")</f>
        <v>188932</v>
      </c>
      <c r="G104" s="119">
        <f>SUMIFS(Data!$G$158:$G$193,Data!$D$158:$D$193,G$92,Data!$E$158:$E$193,"Retail/Leisure")</f>
        <v>182204</v>
      </c>
      <c r="H104" s="119">
        <f>SUMIFS(Data!$G$158:$G$193,Data!$D$158:$D$193,H$92,Data!$E$158:$E$193,"Retail/Leisure")</f>
        <v>201096</v>
      </c>
      <c r="I104" s="119">
        <f>SUMIFS(Data!$G$158:$G$193,Data!$D$158:$D$193,I$92,Data!$E$158:$E$193,"Retail/Leisure")</f>
        <v>237834</v>
      </c>
      <c r="J104" s="120">
        <f>SUM(D104:I104)</f>
        <v>1147285</v>
      </c>
      <c r="K104" s="98"/>
      <c r="L104" s="98"/>
      <c r="M104" s="98"/>
      <c r="N104" s="98"/>
    </row>
    <row r="105" spans="3:14" ht="18" customHeight="1">
      <c r="C105" s="109" t="s">
        <v>230</v>
      </c>
      <c r="D105" s="119">
        <f>SUMIFS(Data!$G$158:$G$193,Data!$D$158:$D$193,D$92,Data!$E$158:$E$193,"Negotiated Corporate")</f>
        <v>68105</v>
      </c>
      <c r="E105" s="119">
        <f>SUMIFS(Data!$G$158:$G$193,Data!$D$158:$D$193,E$92,Data!$E$158:$E$193,"Negotiated Corporate")</f>
        <v>70357</v>
      </c>
      <c r="F105" s="119">
        <f>SUMIFS(Data!$G$158:$G$193,Data!$D$158:$D$193,F$92,Data!$E$158:$E$193,"Negotiated Corporate")</f>
        <v>100375</v>
      </c>
      <c r="G105" s="119">
        <f>SUMIFS(Data!$G$158:$G$193,Data!$D$158:$D$193,G$92,Data!$E$158:$E$193,"Negotiated Corporate")</f>
        <v>117879.5</v>
      </c>
      <c r="H105" s="119">
        <f>SUMIFS(Data!$G$158:$G$193,Data!$D$158:$D$193,H$92,Data!$E$158:$E$193,"Negotiated Corporate")</f>
        <v>139635</v>
      </c>
      <c r="I105" s="119">
        <f>SUMIFS(Data!$G$158:$G$193,Data!$D$158:$D$193,I$92,Data!$E$158:$E$193,"Negotiated Corporate")</f>
        <v>141223.5</v>
      </c>
      <c r="J105" s="120">
        <f>SUM(D105:I105)</f>
        <v>637575</v>
      </c>
      <c r="K105" s="98"/>
      <c r="L105" s="98"/>
      <c r="M105" s="98"/>
      <c r="N105" s="98"/>
    </row>
    <row r="106" spans="3:14" ht="18" customHeight="1">
      <c r="C106" s="121" t="s">
        <v>231</v>
      </c>
      <c r="D106" s="123">
        <f t="shared" ref="D106:I106" si="20">D104+D105</f>
        <v>240849</v>
      </c>
      <c r="E106" s="123">
        <f t="shared" si="20"/>
        <v>234832</v>
      </c>
      <c r="F106" s="123">
        <f t="shared" si="20"/>
        <v>289307</v>
      </c>
      <c r="G106" s="123">
        <f t="shared" si="20"/>
        <v>300083.5</v>
      </c>
      <c r="H106" s="123">
        <f t="shared" si="20"/>
        <v>340731</v>
      </c>
      <c r="I106" s="123">
        <f t="shared" si="20"/>
        <v>379057.5</v>
      </c>
      <c r="J106" s="123">
        <f>SUM(D106:I106)</f>
        <v>1784860</v>
      </c>
      <c r="K106" s="98"/>
      <c r="L106" s="98"/>
      <c r="M106" s="98"/>
      <c r="N106" s="98"/>
    </row>
    <row r="107" spans="3:14" ht="18" customHeight="1">
      <c r="C107" s="109" t="s">
        <v>236</v>
      </c>
      <c r="D107" s="115">
        <f>SUMIFS(Data!$E$200:$E$217,Data!$D$200:$D$217,D$92)</f>
        <v>945.06</v>
      </c>
      <c r="E107" s="115">
        <f>SUMIFS(Data!$E$200:$E$217,Data!$D$200:$D$217,E$92)</f>
        <v>882.2</v>
      </c>
      <c r="F107" s="115">
        <f>SUMIFS(Data!$E$200:$E$217,Data!$D$200:$D$217,F$92)</f>
        <v>1076.32</v>
      </c>
      <c r="G107" s="115">
        <f>SUMIFS(Data!$E$200:$E$217,Data!$D$200:$D$217,G$92)</f>
        <v>1209</v>
      </c>
      <c r="H107" s="115">
        <f>SUMIFS(Data!$E$200:$E$217,Data!$D$200:$D$217,H$92)</f>
        <v>1283.4000000000001</v>
      </c>
      <c r="I107" s="115">
        <f>SUMIFS(Data!$E$200:$E$217,Data!$D$200:$D$217,I$92)</f>
        <v>1268.4000000000001</v>
      </c>
      <c r="J107" s="116">
        <f>SUM(D107:I107)</f>
        <v>6664.3799999999992</v>
      </c>
      <c r="K107" s="98"/>
      <c r="L107" s="98"/>
      <c r="M107" s="98"/>
      <c r="N107" s="98"/>
    </row>
    <row r="108" spans="3:14" ht="18" customHeight="1">
      <c r="C108" s="112" t="s">
        <v>183</v>
      </c>
      <c r="D108" s="125">
        <f t="shared" ref="D108:J108" si="21">D107/D95</f>
        <v>0.56999999999999995</v>
      </c>
      <c r="E108" s="125">
        <f t="shared" si="21"/>
        <v>0.55000000000000004</v>
      </c>
      <c r="F108" s="125">
        <f t="shared" si="21"/>
        <v>0.55999999999999994</v>
      </c>
      <c r="G108" s="125">
        <f t="shared" si="21"/>
        <v>0.62</v>
      </c>
      <c r="H108" s="125">
        <f t="shared" si="21"/>
        <v>0.60000000000000009</v>
      </c>
      <c r="I108" s="125">
        <f t="shared" si="21"/>
        <v>0.56000000000000005</v>
      </c>
      <c r="J108" s="125">
        <f t="shared" si="21"/>
        <v>0.57760270410816428</v>
      </c>
      <c r="K108" s="98"/>
      <c r="L108" s="98"/>
      <c r="M108" s="98"/>
      <c r="N108" s="98"/>
    </row>
    <row r="109" spans="3:14" ht="18" customHeight="1">
      <c r="C109" s="112" t="s">
        <v>321</v>
      </c>
      <c r="D109" s="127">
        <f t="shared" ref="D109:J109" si="22">D110/D107</f>
        <v>21.899995767464503</v>
      </c>
      <c r="E109" s="127">
        <f t="shared" si="22"/>
        <v>22</v>
      </c>
      <c r="F109" s="127">
        <f t="shared" si="22"/>
        <v>22.09999814181656</v>
      </c>
      <c r="G109" s="127">
        <f t="shared" si="22"/>
        <v>23.25</v>
      </c>
      <c r="H109" s="127">
        <f t="shared" si="22"/>
        <v>23.249999999999996</v>
      </c>
      <c r="I109" s="127">
        <f t="shared" si="22"/>
        <v>23.249999999999996</v>
      </c>
      <c r="J109" s="127">
        <f t="shared" si="22"/>
        <v>22.707360624694275</v>
      </c>
      <c r="K109" s="98"/>
      <c r="L109" s="98"/>
      <c r="M109" s="98"/>
      <c r="N109" s="98"/>
    </row>
    <row r="110" spans="3:14" ht="18" customHeight="1">
      <c r="C110" s="109" t="s">
        <v>237</v>
      </c>
      <c r="D110" s="119">
        <f>SUMIFS(Data!$F$200:$F$217,Data!$D$200:$D$217,D$92)</f>
        <v>20696.810000000001</v>
      </c>
      <c r="E110" s="119">
        <f>SUMIFS(Data!$F$200:$F$217,Data!$D$200:$D$217,E$92)</f>
        <v>19408.400000000001</v>
      </c>
      <c r="F110" s="119">
        <f>SUMIFS(Data!$F$200:$F$217,Data!$D$200:$D$217,F$92)</f>
        <v>23786.67</v>
      </c>
      <c r="G110" s="119">
        <f>SUMIFS(Data!$F$200:$F$217,Data!$D$200:$D$217,G$92)</f>
        <v>28109.25</v>
      </c>
      <c r="H110" s="119">
        <f>SUMIFS(Data!$F$200:$F$217,Data!$D$200:$D$217,H$92)</f>
        <v>29839.05</v>
      </c>
      <c r="I110" s="119">
        <f>SUMIFS(Data!$F$200:$F$217,Data!$D$200:$D$217,I$92)</f>
        <v>29490.3</v>
      </c>
      <c r="J110" s="120">
        <f>SUM(D110:I110)</f>
        <v>151330.48000000001</v>
      </c>
      <c r="K110" s="98"/>
      <c r="L110" s="98"/>
      <c r="M110" s="98"/>
      <c r="N110" s="98"/>
    </row>
    <row r="111" spans="3:14" ht="18" customHeight="1">
      <c r="C111" s="112" t="s">
        <v>186</v>
      </c>
      <c r="D111" s="127">
        <f t="shared" ref="D111:J111" si="23">D112/D95</f>
        <v>18.599999999999998</v>
      </c>
      <c r="E111" s="127">
        <f t="shared" si="23"/>
        <v>18.5</v>
      </c>
      <c r="F111" s="127">
        <f t="shared" si="23"/>
        <v>19.099999999999998</v>
      </c>
      <c r="G111" s="127">
        <f t="shared" si="23"/>
        <v>19.399999999999999</v>
      </c>
      <c r="H111" s="127">
        <f t="shared" si="23"/>
        <v>19.799999999999997</v>
      </c>
      <c r="I111" s="127">
        <f t="shared" si="23"/>
        <v>20.100000000000001</v>
      </c>
      <c r="J111" s="127">
        <f t="shared" si="23"/>
        <v>19.321520194141101</v>
      </c>
      <c r="K111" s="98"/>
      <c r="L111" s="98"/>
      <c r="M111" s="98"/>
      <c r="N111" s="98"/>
    </row>
    <row r="112" spans="3:14" ht="18" customHeight="1">
      <c r="C112" s="109" t="s">
        <v>238</v>
      </c>
      <c r="D112" s="119">
        <f>SUMIFS(Data!$G$8:$G$151,Data!$D$8:$D$151,D$92,Data!$F$8:$F$151,"Guest Services")</f>
        <v>30838.799999999999</v>
      </c>
      <c r="E112" s="119">
        <f>SUMIFS(Data!$G$8:$G$151,Data!$D$8:$D$151,E$92,Data!$F$8:$F$151,"Guest Services")</f>
        <v>29674</v>
      </c>
      <c r="F112" s="119">
        <f>SUMIFS(Data!$G$8:$G$151,Data!$D$8:$D$151,F$92,Data!$F$8:$F$151,"Guest Services")</f>
        <v>36710.199999999997</v>
      </c>
      <c r="G112" s="119">
        <f>SUMIFS(Data!$G$8:$G$151,Data!$D$8:$D$151,G$92,Data!$F$8:$F$151,"Guest Services")</f>
        <v>37830</v>
      </c>
      <c r="H112" s="119">
        <f>SUMIFS(Data!$G$8:$G$151,Data!$D$8:$D$151,H$92,Data!$F$8:$F$151,"Guest Services")</f>
        <v>42352.2</v>
      </c>
      <c r="I112" s="119">
        <f>SUMIFS(Data!$G$8:$G$151,Data!$D$8:$D$151,I$92,Data!$F$8:$F$151,"Guest Services")</f>
        <v>45526.5</v>
      </c>
      <c r="J112" s="120">
        <f>SUM(D112:I112)</f>
        <v>222931.7</v>
      </c>
      <c r="K112" s="98"/>
      <c r="L112" s="98"/>
      <c r="M112" s="98"/>
      <c r="N112" s="98"/>
    </row>
    <row r="113" spans="3:14" ht="18" customHeight="1">
      <c r="C113" s="112" t="s">
        <v>187</v>
      </c>
      <c r="D113" s="114">
        <f t="shared" ref="D113:J113" si="24">D114/D106</f>
        <v>3.9999999999999994E-2</v>
      </c>
      <c r="E113" s="114">
        <f t="shared" si="24"/>
        <v>0.04</v>
      </c>
      <c r="F113" s="114">
        <f t="shared" si="24"/>
        <v>0.04</v>
      </c>
      <c r="G113" s="114">
        <f t="shared" si="24"/>
        <v>0.04</v>
      </c>
      <c r="H113" s="114">
        <f t="shared" si="24"/>
        <v>0.04</v>
      </c>
      <c r="I113" s="114">
        <f t="shared" si="24"/>
        <v>0.04</v>
      </c>
      <c r="J113" s="114">
        <f t="shared" si="24"/>
        <v>3.9999999999999994E-2</v>
      </c>
      <c r="K113" s="98"/>
      <c r="L113" s="98"/>
      <c r="M113" s="98"/>
      <c r="N113" s="98"/>
    </row>
    <row r="114" spans="3:14" ht="18" customHeight="1">
      <c r="C114" s="109" t="s">
        <v>239</v>
      </c>
      <c r="D114" s="119">
        <f>SUMIFS(Data!$G$8:$G$151,Data!$D$8:$D$151,D$92,Data!$F$8:$F$151,"Distribution and Payment")</f>
        <v>9633.9599999999991</v>
      </c>
      <c r="E114" s="119">
        <f>SUMIFS(Data!$G$8:$G$151,Data!$D$8:$D$151,E$92,Data!$F$8:$F$151,"Distribution and Payment")</f>
        <v>9393.2800000000007</v>
      </c>
      <c r="F114" s="119">
        <f>SUMIFS(Data!$G$8:$G$151,Data!$D$8:$D$151,F$92,Data!$F$8:$F$151,"Distribution and Payment")</f>
        <v>11572.28</v>
      </c>
      <c r="G114" s="119">
        <f>SUMIFS(Data!$G$8:$G$151,Data!$D$8:$D$151,G$92,Data!$F$8:$F$151,"Distribution and Payment")</f>
        <v>12003.34</v>
      </c>
      <c r="H114" s="119">
        <f>SUMIFS(Data!$G$8:$G$151,Data!$D$8:$D$151,H$92,Data!$F$8:$F$151,"Distribution and Payment")</f>
        <v>13629.24</v>
      </c>
      <c r="I114" s="119">
        <f>SUMIFS(Data!$G$8:$G$151,Data!$D$8:$D$151,I$92,Data!$F$8:$F$151,"Distribution and Payment")</f>
        <v>15162.3</v>
      </c>
      <c r="J114" s="120">
        <f>SUM(D114:I114)</f>
        <v>71394.399999999994</v>
      </c>
      <c r="K114" s="98"/>
      <c r="L114" s="98"/>
      <c r="M114" s="98"/>
      <c r="N114" s="98"/>
    </row>
    <row r="115" spans="3:14" ht="18" customHeight="1">
      <c r="C115" s="109" t="s">
        <v>322</v>
      </c>
      <c r="D115" s="128">
        <f>SUMIFS(Data!$G$200:$G$217,Data!$D$200:$D$217,D$92)</f>
        <v>5</v>
      </c>
      <c r="E115" s="128">
        <f>SUMIFS(Data!$G$200:$G$217,Data!$D$200:$D$217,E$92)</f>
        <v>5</v>
      </c>
      <c r="F115" s="128">
        <f>SUMIFS(Data!$G$200:$G$217,Data!$D$200:$D$217,F$92)</f>
        <v>5</v>
      </c>
      <c r="G115" s="128">
        <f>SUMIFS(Data!$G$200:$G$217,Data!$D$200:$D$217,G$92)</f>
        <v>5</v>
      </c>
      <c r="H115" s="128">
        <f>SUMIFS(Data!$G$200:$G$217,Data!$D$200:$D$217,H$92)</f>
        <v>5</v>
      </c>
      <c r="I115" s="128">
        <f>SUMIFS(Data!$G$200:$G$217,Data!$D$200:$D$217,I$92)</f>
        <v>5</v>
      </c>
      <c r="J115" s="129">
        <f>SUM(D115:I115)/6</f>
        <v>5</v>
      </c>
      <c r="K115" s="98"/>
      <c r="L115" s="98"/>
      <c r="M115" s="98"/>
      <c r="N115" s="98"/>
    </row>
    <row r="116" spans="3:14" ht="18" customHeight="1">
      <c r="C116" s="109" t="s">
        <v>323</v>
      </c>
      <c r="D116" s="118">
        <f t="shared" ref="D116:I116" si="25">D117/D115</f>
        <v>5980</v>
      </c>
      <c r="E116" s="118">
        <f t="shared" si="25"/>
        <v>6005</v>
      </c>
      <c r="F116" s="118">
        <f t="shared" si="25"/>
        <v>6015</v>
      </c>
      <c r="G116" s="118">
        <f t="shared" si="25"/>
        <v>6040</v>
      </c>
      <c r="H116" s="118">
        <f t="shared" si="25"/>
        <v>6070</v>
      </c>
      <c r="I116" s="118">
        <f t="shared" si="25"/>
        <v>6050</v>
      </c>
      <c r="J116" s="118">
        <f>J117/SUM(D115:I115)</f>
        <v>6026.666666666667</v>
      </c>
      <c r="K116" s="98"/>
      <c r="L116" s="98"/>
      <c r="M116" s="98"/>
      <c r="N116" s="98"/>
    </row>
    <row r="117" spans="3:14" ht="18" customHeight="1">
      <c r="C117" s="109" t="s">
        <v>280</v>
      </c>
      <c r="D117" s="119">
        <f>SUMIFS(Data!$H$200:$H$217,Data!$D$200:$D$217,D$92)</f>
        <v>29900</v>
      </c>
      <c r="E117" s="119">
        <f>SUMIFS(Data!$H$200:$H$217,Data!$D$200:$D$217,E$92)</f>
        <v>30025</v>
      </c>
      <c r="F117" s="119">
        <f>SUMIFS(Data!$H$200:$H$217,Data!$D$200:$D$217,F$92)</f>
        <v>30075</v>
      </c>
      <c r="G117" s="119">
        <f>SUMIFS(Data!$H$200:$H$217,Data!$D$200:$D$217,G$92)</f>
        <v>30200</v>
      </c>
      <c r="H117" s="119">
        <f>SUMIFS(Data!$H$200:$H$217,Data!$D$200:$D$217,H$92)</f>
        <v>30350</v>
      </c>
      <c r="I117" s="119">
        <f>SUMIFS(Data!$H$200:$H$217,Data!$D$200:$D$217,I$92)</f>
        <v>30250</v>
      </c>
      <c r="J117" s="120">
        <f t="shared" ref="J117:J122" si="26">SUM(D117:I117)</f>
        <v>180800</v>
      </c>
      <c r="K117" s="98"/>
      <c r="L117" s="98"/>
      <c r="M117" s="98"/>
      <c r="N117" s="98"/>
    </row>
    <row r="118" spans="3:14" ht="18" customHeight="1">
      <c r="C118" s="109" t="s">
        <v>67</v>
      </c>
      <c r="D118" s="119">
        <f>SUMIFS(Data!$G$8:$G$151,Data!$D$8:$D$151,D$92,Data!$F$8:$F$151,"Rent")</f>
        <v>78000</v>
      </c>
      <c r="E118" s="119">
        <f>SUMIFS(Data!$G$8:$G$151,Data!$D$8:$D$151,E$92,Data!$F$8:$F$151,"Rent")</f>
        <v>78000</v>
      </c>
      <c r="F118" s="119">
        <f>SUMIFS(Data!$G$8:$G$151,Data!$D$8:$D$151,F$92,Data!$F$8:$F$151,"Rent")</f>
        <v>78000</v>
      </c>
      <c r="G118" s="119">
        <f>SUMIFS(Data!$G$8:$G$151,Data!$D$8:$D$151,G$92,Data!$F$8:$F$151,"Rent")</f>
        <v>78000</v>
      </c>
      <c r="H118" s="119">
        <f>SUMIFS(Data!$G$8:$G$151,Data!$D$8:$D$151,H$92,Data!$F$8:$F$151,"Rent")</f>
        <v>78000</v>
      </c>
      <c r="I118" s="119">
        <f>SUMIFS(Data!$G$8:$G$151,Data!$D$8:$D$151,I$92,Data!$F$8:$F$151,"Rent")</f>
        <v>78000</v>
      </c>
      <c r="J118" s="120">
        <f t="shared" si="26"/>
        <v>468000</v>
      </c>
      <c r="K118" s="98"/>
      <c r="L118" s="98"/>
      <c r="M118" s="98"/>
      <c r="N118" s="98"/>
    </row>
    <row r="119" spans="3:14" ht="18" customHeight="1">
      <c r="C119" s="109" t="s">
        <v>191</v>
      </c>
      <c r="D119" s="119">
        <f>SUMIFS(Data!$G$8:$G$151,Data!$D$8:$D$151,D$92,Data!$F$8:$F$151,"Property Overhead")</f>
        <v>28050</v>
      </c>
      <c r="E119" s="119">
        <f>SUMIFS(Data!$G$8:$G$151,Data!$D$8:$D$151,E$92,Data!$F$8:$F$151,"Property Overhead")</f>
        <v>27920</v>
      </c>
      <c r="F119" s="119">
        <f>SUMIFS(Data!$G$8:$G$151,Data!$D$8:$D$151,F$92,Data!$F$8:$F$151,"Property Overhead")</f>
        <v>28620</v>
      </c>
      <c r="G119" s="119">
        <f>SUMIFS(Data!$G$8:$G$151,Data!$D$8:$D$151,G$92,Data!$F$8:$F$151,"Property Overhead")</f>
        <v>28710</v>
      </c>
      <c r="H119" s="119">
        <f>SUMIFS(Data!$G$8:$G$151,Data!$D$8:$D$151,H$92,Data!$F$8:$F$151,"Property Overhead")</f>
        <v>30350</v>
      </c>
      <c r="I119" s="119">
        <f>SUMIFS(Data!$G$8:$G$151,Data!$D$8:$D$151,I$92,Data!$F$8:$F$151,"Property Overhead")</f>
        <v>29410</v>
      </c>
      <c r="J119" s="120">
        <f t="shared" si="26"/>
        <v>173060</v>
      </c>
      <c r="K119" s="98"/>
      <c r="L119" s="98"/>
      <c r="M119" s="98"/>
      <c r="N119" s="98"/>
    </row>
    <row r="120" spans="3:14" ht="18" customHeight="1">
      <c r="C120" s="109" t="s">
        <v>71</v>
      </c>
      <c r="D120" s="119">
        <f>SUMIFS(Data!$G$8:$G$151,Data!$D$8:$D$151,D$92,Data!$F$8:$F$151,"Marketing")</f>
        <v>10200</v>
      </c>
      <c r="E120" s="119">
        <f>SUMIFS(Data!$G$8:$G$151,Data!$D$8:$D$151,E$92,Data!$F$8:$F$151,"Marketing")</f>
        <v>8800</v>
      </c>
      <c r="F120" s="119">
        <f>SUMIFS(Data!$G$8:$G$151,Data!$D$8:$D$151,F$92,Data!$F$8:$F$151,"Marketing")</f>
        <v>11300</v>
      </c>
      <c r="G120" s="119">
        <f>SUMIFS(Data!$G$8:$G$151,Data!$D$8:$D$151,G$92,Data!$F$8:$F$151,"Marketing")</f>
        <v>13100</v>
      </c>
      <c r="H120" s="119">
        <f>SUMIFS(Data!$G$8:$G$151,Data!$D$8:$D$151,H$92,Data!$F$8:$F$151,"Marketing")</f>
        <v>14200</v>
      </c>
      <c r="I120" s="119">
        <f>SUMIFS(Data!$G$8:$G$151,Data!$D$8:$D$151,I$92,Data!$F$8:$F$151,"Marketing")</f>
        <v>6000</v>
      </c>
      <c r="J120" s="120">
        <f t="shared" si="26"/>
        <v>63600</v>
      </c>
      <c r="K120" s="98"/>
      <c r="L120" s="98"/>
      <c r="M120" s="98"/>
      <c r="N120" s="98"/>
    </row>
    <row r="121" spans="3:14" ht="18" customHeight="1">
      <c r="C121" s="121" t="s">
        <v>245</v>
      </c>
      <c r="D121" s="123">
        <f t="shared" ref="D121:I121" si="27">SUM(D110,D112,D114,D117,D118,D119,D120)</f>
        <v>207319.57</v>
      </c>
      <c r="E121" s="123">
        <f t="shared" si="27"/>
        <v>203220.68</v>
      </c>
      <c r="F121" s="123">
        <f t="shared" si="27"/>
        <v>220064.15</v>
      </c>
      <c r="G121" s="123">
        <f t="shared" si="27"/>
        <v>227952.59</v>
      </c>
      <c r="H121" s="123">
        <f t="shared" si="27"/>
        <v>238720.49</v>
      </c>
      <c r="I121" s="123">
        <f t="shared" si="27"/>
        <v>233839.1</v>
      </c>
      <c r="J121" s="123">
        <f t="shared" si="26"/>
        <v>1331116.58</v>
      </c>
      <c r="K121" s="98"/>
      <c r="L121" s="98"/>
      <c r="M121" s="98"/>
      <c r="N121" s="98"/>
    </row>
    <row r="122" spans="3:14" ht="18" customHeight="1">
      <c r="C122" s="121" t="s">
        <v>246</v>
      </c>
      <c r="D122" s="123">
        <f t="shared" ref="D122:I122" si="28">D106-D121</f>
        <v>33529.429999999993</v>
      </c>
      <c r="E122" s="123">
        <f t="shared" si="28"/>
        <v>31611.320000000007</v>
      </c>
      <c r="F122" s="123">
        <f t="shared" si="28"/>
        <v>69242.850000000006</v>
      </c>
      <c r="G122" s="123">
        <f t="shared" si="28"/>
        <v>72130.91</v>
      </c>
      <c r="H122" s="123">
        <f t="shared" si="28"/>
        <v>102010.51000000001</v>
      </c>
      <c r="I122" s="123">
        <f t="shared" si="28"/>
        <v>145218.4</v>
      </c>
      <c r="J122" s="123">
        <f t="shared" si="26"/>
        <v>453743.42000000004</v>
      </c>
      <c r="K122" s="98"/>
      <c r="L122" s="98"/>
      <c r="M122" s="98"/>
      <c r="N122" s="98"/>
    </row>
    <row r="123" spans="3:14" ht="18" customHeight="1">
      <c r="C123" s="130" t="s">
        <v>247</v>
      </c>
      <c r="D123" s="132">
        <f t="shared" ref="D123:J123" si="29">D122/D106</f>
        <v>0.13921349061029936</v>
      </c>
      <c r="E123" s="132">
        <f t="shared" si="29"/>
        <v>0.13461248892825511</v>
      </c>
      <c r="F123" s="132">
        <f t="shared" si="29"/>
        <v>0.23934038927506077</v>
      </c>
      <c r="G123" s="132">
        <f t="shared" si="29"/>
        <v>0.2403694638325666</v>
      </c>
      <c r="H123" s="132">
        <f t="shared" si="29"/>
        <v>0.29938722922187888</v>
      </c>
      <c r="I123" s="132">
        <f t="shared" si="29"/>
        <v>0.38310388265632522</v>
      </c>
      <c r="J123" s="132">
        <f t="shared" si="29"/>
        <v>0.25421793305917556</v>
      </c>
      <c r="K123" s="98"/>
      <c r="L123" s="98"/>
      <c r="M123" s="98"/>
      <c r="N123" s="98"/>
    </row>
    <row r="124" spans="3:14" ht="18" customHeight="1"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</row>
    <row r="125" spans="3:14" ht="32" customHeight="1">
      <c r="C125" s="166" t="s">
        <v>218</v>
      </c>
      <c r="D125" s="169">
        <v>46023</v>
      </c>
      <c r="E125" s="169">
        <v>46054</v>
      </c>
      <c r="F125" s="169">
        <v>46082</v>
      </c>
      <c r="G125" s="169">
        <v>46113</v>
      </c>
      <c r="H125" s="169">
        <v>46143</v>
      </c>
      <c r="I125" s="169">
        <v>46174</v>
      </c>
      <c r="J125" s="168" t="s">
        <v>326</v>
      </c>
      <c r="K125" s="98"/>
      <c r="L125" s="98"/>
      <c r="M125" s="98"/>
      <c r="N125" s="98"/>
    </row>
    <row r="126" spans="3:14" ht="24" customHeight="1">
      <c r="C126" s="162" t="s">
        <v>328</v>
      </c>
      <c r="D126" s="163"/>
      <c r="E126" s="163"/>
      <c r="F126" s="163"/>
      <c r="G126" s="163"/>
      <c r="H126" s="163"/>
      <c r="I126" s="163"/>
      <c r="J126" s="164"/>
      <c r="K126" s="98"/>
      <c r="L126" s="98"/>
      <c r="M126" s="98"/>
      <c r="N126" s="98"/>
    </row>
    <row r="127" spans="3:14" ht="18" customHeight="1">
      <c r="C127" s="106" t="s">
        <v>223</v>
      </c>
      <c r="D127" s="108">
        <f t="shared" ref="D127:J128" si="30">D94-D61</f>
        <v>0</v>
      </c>
      <c r="E127" s="108">
        <f t="shared" si="30"/>
        <v>0</v>
      </c>
      <c r="F127" s="108">
        <f t="shared" si="30"/>
        <v>0</v>
      </c>
      <c r="G127" s="108">
        <f t="shared" si="30"/>
        <v>0</v>
      </c>
      <c r="H127" s="108">
        <f t="shared" si="30"/>
        <v>0</v>
      </c>
      <c r="I127" s="108">
        <f t="shared" si="30"/>
        <v>0</v>
      </c>
      <c r="J127" s="108">
        <f t="shared" si="30"/>
        <v>0</v>
      </c>
      <c r="K127" s="98"/>
      <c r="L127" s="98"/>
      <c r="M127" s="98"/>
      <c r="N127" s="98"/>
    </row>
    <row r="128" spans="3:14" ht="18" customHeight="1">
      <c r="C128" s="109" t="s">
        <v>175</v>
      </c>
      <c r="D128" s="111">
        <f t="shared" si="30"/>
        <v>-47</v>
      </c>
      <c r="E128" s="111">
        <f t="shared" si="30"/>
        <v>-20</v>
      </c>
      <c r="F128" s="111">
        <f t="shared" si="30"/>
        <v>-93</v>
      </c>
      <c r="G128" s="111">
        <f t="shared" si="30"/>
        <v>-150</v>
      </c>
      <c r="H128" s="111">
        <f t="shared" si="30"/>
        <v>-155</v>
      </c>
      <c r="I128" s="111">
        <f t="shared" si="30"/>
        <v>-75</v>
      </c>
      <c r="J128" s="111">
        <f t="shared" si="30"/>
        <v>-540</v>
      </c>
      <c r="K128" s="98"/>
      <c r="L128" s="98"/>
      <c r="M128" s="98"/>
      <c r="N128" s="98"/>
    </row>
    <row r="129" spans="3:14" ht="18" customHeight="1">
      <c r="C129" s="112" t="s">
        <v>225</v>
      </c>
      <c r="D129" s="133">
        <f t="shared" ref="D129:J129" si="31">(D96-D63)*100</f>
        <v>-1.5161290322580734</v>
      </c>
      <c r="E129" s="133">
        <f t="shared" si="31"/>
        <v>-0.71428571428571175</v>
      </c>
      <c r="F129" s="133">
        <f t="shared" si="31"/>
        <v>-3.0000000000000027</v>
      </c>
      <c r="G129" s="133">
        <f t="shared" si="31"/>
        <v>-4.9999999999999929</v>
      </c>
      <c r="H129" s="133">
        <f t="shared" si="31"/>
        <v>-5.0000000000000044</v>
      </c>
      <c r="I129" s="133">
        <f t="shared" si="31"/>
        <v>-2.5000000000000022</v>
      </c>
      <c r="J129" s="133">
        <f t="shared" si="31"/>
        <v>-2.9834254143646488</v>
      </c>
      <c r="K129" s="98"/>
      <c r="L129" s="98"/>
      <c r="M129" s="98"/>
      <c r="N129" s="98"/>
    </row>
    <row r="130" spans="3:14" ht="18" customHeight="1">
      <c r="C130" s="109" t="s">
        <v>226</v>
      </c>
      <c r="D130" s="116">
        <f t="shared" ref="D130:J131" si="32">D97-D64</f>
        <v>-49.5</v>
      </c>
      <c r="E130" s="116">
        <f t="shared" si="32"/>
        <v>-45.559999999999945</v>
      </c>
      <c r="F130" s="116">
        <f t="shared" si="32"/>
        <v>-178.19999999999982</v>
      </c>
      <c r="G130" s="116">
        <f t="shared" si="32"/>
        <v>-275</v>
      </c>
      <c r="H130" s="116">
        <f t="shared" si="32"/>
        <v>-315.09999999999991</v>
      </c>
      <c r="I130" s="116">
        <f t="shared" si="32"/>
        <v>-183.59999999999991</v>
      </c>
      <c r="J130" s="116">
        <f t="shared" si="32"/>
        <v>-1046.9600000000009</v>
      </c>
      <c r="K130" s="98"/>
      <c r="L130" s="98"/>
      <c r="M130" s="98"/>
      <c r="N130" s="98"/>
    </row>
    <row r="131" spans="3:14" ht="18" customHeight="1">
      <c r="C131" s="109" t="s">
        <v>227</v>
      </c>
      <c r="D131" s="116">
        <f t="shared" si="32"/>
        <v>2.5</v>
      </c>
      <c r="E131" s="116">
        <f t="shared" si="32"/>
        <v>25.560000000000002</v>
      </c>
      <c r="F131" s="116">
        <f t="shared" si="32"/>
        <v>85.199999999999932</v>
      </c>
      <c r="G131" s="116">
        <f t="shared" si="32"/>
        <v>125</v>
      </c>
      <c r="H131" s="116">
        <f t="shared" si="32"/>
        <v>160.10000000000002</v>
      </c>
      <c r="I131" s="116">
        <f t="shared" si="32"/>
        <v>108.60000000000002</v>
      </c>
      <c r="J131" s="116">
        <f t="shared" si="32"/>
        <v>506.95999999999958</v>
      </c>
      <c r="K131" s="98"/>
      <c r="L131" s="98"/>
      <c r="M131" s="98"/>
      <c r="N131" s="98"/>
    </row>
    <row r="132" spans="3:14" ht="18" customHeight="1">
      <c r="C132" s="112" t="s">
        <v>178</v>
      </c>
      <c r="D132" s="133">
        <f t="shared" ref="D132:J132" si="33">(D99-D66)*100</f>
        <v>1.0012062726176107</v>
      </c>
      <c r="E132" s="133">
        <f t="shared" si="33"/>
        <v>1.9800498753117235</v>
      </c>
      <c r="F132" s="133">
        <f t="shared" si="33"/>
        <v>5.9812695109261185</v>
      </c>
      <c r="G132" s="133">
        <f t="shared" si="33"/>
        <v>9.0256410256410238</v>
      </c>
      <c r="H132" s="133">
        <f t="shared" si="33"/>
        <v>10.021037868162697</v>
      </c>
      <c r="I132" s="133">
        <f t="shared" si="33"/>
        <v>5.9867549668874194</v>
      </c>
      <c r="J132" s="133">
        <f t="shared" si="33"/>
        <v>5.9511945107709856</v>
      </c>
      <c r="K132" s="98"/>
      <c r="L132" s="98"/>
      <c r="M132" s="98"/>
      <c r="N132" s="98"/>
    </row>
    <row r="133" spans="3:14" ht="18" customHeight="1">
      <c r="C133" s="109" t="s">
        <v>180</v>
      </c>
      <c r="D133" s="118">
        <f t="shared" ref="D133:J145" si="34">D100-D67</f>
        <v>1</v>
      </c>
      <c r="E133" s="118">
        <f t="shared" si="34"/>
        <v>1</v>
      </c>
      <c r="F133" s="118">
        <f t="shared" si="34"/>
        <v>0.5</v>
      </c>
      <c r="G133" s="118">
        <f t="shared" si="34"/>
        <v>0</v>
      </c>
      <c r="H133" s="118">
        <f t="shared" si="34"/>
        <v>-1</v>
      </c>
      <c r="I133" s="118">
        <f t="shared" si="34"/>
        <v>1</v>
      </c>
      <c r="J133" s="118">
        <f t="shared" si="34"/>
        <v>-7.4088725080713402E-2</v>
      </c>
      <c r="K133" s="98"/>
      <c r="L133" s="98"/>
      <c r="M133" s="98"/>
      <c r="N133" s="98"/>
    </row>
    <row r="134" spans="3:14" ht="18" customHeight="1">
      <c r="C134" s="109" t="s">
        <v>181</v>
      </c>
      <c r="D134" s="118">
        <f t="shared" si="34"/>
        <v>0.5</v>
      </c>
      <c r="E134" s="118">
        <f t="shared" si="34"/>
        <v>0</v>
      </c>
      <c r="F134" s="118">
        <f t="shared" si="34"/>
        <v>0.5</v>
      </c>
      <c r="G134" s="118">
        <f t="shared" si="34"/>
        <v>0.5</v>
      </c>
      <c r="H134" s="118">
        <f t="shared" si="34"/>
        <v>0</v>
      </c>
      <c r="I134" s="118">
        <f t="shared" si="34"/>
        <v>0.5</v>
      </c>
      <c r="J134" s="118">
        <f t="shared" si="34"/>
        <v>0.57004117097272911</v>
      </c>
      <c r="K134" s="98"/>
      <c r="L134" s="98"/>
      <c r="M134" s="98"/>
      <c r="N134" s="98"/>
    </row>
    <row r="135" spans="3:14" ht="18" customHeight="1">
      <c r="C135" s="109" t="s">
        <v>232</v>
      </c>
      <c r="D135" s="118">
        <f t="shared" si="34"/>
        <v>0.66477683956574651</v>
      </c>
      <c r="E135" s="118">
        <f t="shared" si="34"/>
        <v>0.29399002493764215</v>
      </c>
      <c r="F135" s="118">
        <f t="shared" si="34"/>
        <v>-0.75606659729444914</v>
      </c>
      <c r="G135" s="118">
        <f t="shared" si="34"/>
        <v>-1.9510256410256375</v>
      </c>
      <c r="H135" s="118">
        <f t="shared" si="34"/>
        <v>-3.2554698457222742</v>
      </c>
      <c r="I135" s="118">
        <f t="shared" si="34"/>
        <v>-1.1256953642384246</v>
      </c>
      <c r="J135" s="118">
        <f t="shared" si="34"/>
        <v>-1.2135246405385089</v>
      </c>
      <c r="K135" s="98"/>
      <c r="L135" s="98"/>
      <c r="M135" s="98"/>
      <c r="N135" s="98"/>
    </row>
    <row r="136" spans="3:14" ht="18" customHeight="1">
      <c r="C136" s="109" t="s">
        <v>233</v>
      </c>
      <c r="D136" s="118">
        <f t="shared" si="34"/>
        <v>-1.8367741935483934</v>
      </c>
      <c r="E136" s="118">
        <f t="shared" si="34"/>
        <v>-0.87522857142857902</v>
      </c>
      <c r="F136" s="118">
        <f t="shared" si="34"/>
        <v>-5.0071612903225571</v>
      </c>
      <c r="G136" s="118">
        <f t="shared" si="34"/>
        <v>-9.0601666666666603</v>
      </c>
      <c r="H136" s="118">
        <f t="shared" si="34"/>
        <v>-10.373774193548385</v>
      </c>
      <c r="I136" s="118">
        <f t="shared" si="34"/>
        <v>-5.0618999999999943</v>
      </c>
      <c r="J136" s="118">
        <f t="shared" si="34"/>
        <v>-5.4249580110497106</v>
      </c>
      <c r="K136" s="98"/>
      <c r="L136" s="98"/>
      <c r="M136" s="98"/>
      <c r="N136" s="98"/>
    </row>
    <row r="137" spans="3:14" ht="18" customHeight="1">
      <c r="C137" s="109" t="s">
        <v>229</v>
      </c>
      <c r="D137" s="120">
        <f t="shared" si="34"/>
        <v>-6281</v>
      </c>
      <c r="E137" s="120">
        <f t="shared" si="34"/>
        <v>-5850.1199999999953</v>
      </c>
      <c r="F137" s="120">
        <f t="shared" si="34"/>
        <v>-27559.599999999977</v>
      </c>
      <c r="G137" s="120">
        <f t="shared" si="34"/>
        <v>-45100</v>
      </c>
      <c r="H137" s="120">
        <f t="shared" si="34"/>
        <v>-55373.199999999983</v>
      </c>
      <c r="I137" s="120">
        <f t="shared" si="34"/>
        <v>-31734</v>
      </c>
      <c r="J137" s="120">
        <f t="shared" si="34"/>
        <v>-171897.91999999993</v>
      </c>
      <c r="K137" s="98"/>
      <c r="L137" s="98"/>
      <c r="M137" s="98"/>
      <c r="N137" s="98"/>
    </row>
    <row r="138" spans="3:14" ht="18" customHeight="1">
      <c r="C138" s="109" t="s">
        <v>230</v>
      </c>
      <c r="D138" s="120">
        <f t="shared" si="34"/>
        <v>587</v>
      </c>
      <c r="E138" s="120">
        <f t="shared" si="34"/>
        <v>3399.4799999999959</v>
      </c>
      <c r="F138" s="120">
        <f t="shared" si="34"/>
        <v>12037.399999999994</v>
      </c>
      <c r="G138" s="120">
        <f t="shared" si="34"/>
        <v>17919.5</v>
      </c>
      <c r="H138" s="120">
        <f t="shared" si="34"/>
        <v>23214.5</v>
      </c>
      <c r="I138" s="120">
        <f t="shared" si="34"/>
        <v>16548.300000000003</v>
      </c>
      <c r="J138" s="120">
        <f t="shared" si="34"/>
        <v>73706.180000000051</v>
      </c>
      <c r="K138" s="98"/>
      <c r="L138" s="98"/>
      <c r="M138" s="98"/>
      <c r="N138" s="98"/>
    </row>
    <row r="139" spans="3:14" ht="18" customHeight="1">
      <c r="C139" s="121" t="s">
        <v>231</v>
      </c>
      <c r="D139" s="123">
        <f t="shared" si="34"/>
        <v>-5694</v>
      </c>
      <c r="E139" s="123">
        <f t="shared" si="34"/>
        <v>-2450.640000000014</v>
      </c>
      <c r="F139" s="123">
        <f t="shared" si="34"/>
        <v>-15522.199999999953</v>
      </c>
      <c r="G139" s="123">
        <f t="shared" si="34"/>
        <v>-27180.5</v>
      </c>
      <c r="H139" s="123">
        <f t="shared" si="34"/>
        <v>-32158.699999999953</v>
      </c>
      <c r="I139" s="123">
        <f t="shared" si="34"/>
        <v>-15185.700000000012</v>
      </c>
      <c r="J139" s="123">
        <f t="shared" si="34"/>
        <v>-98191.739999999758</v>
      </c>
      <c r="K139" s="98"/>
      <c r="L139" s="98"/>
      <c r="M139" s="98"/>
      <c r="N139" s="98"/>
    </row>
    <row r="140" spans="3:14" ht="18" customHeight="1">
      <c r="C140" s="109" t="s">
        <v>236</v>
      </c>
      <c r="D140" s="116">
        <f t="shared" si="34"/>
        <v>-9.7400000000001228</v>
      </c>
      <c r="E140" s="116">
        <f t="shared" si="34"/>
        <v>-11</v>
      </c>
      <c r="F140" s="116">
        <f t="shared" si="34"/>
        <v>-11.7800000000002</v>
      </c>
      <c r="G140" s="116">
        <f t="shared" si="34"/>
        <v>96</v>
      </c>
      <c r="H140" s="116">
        <f t="shared" si="34"/>
        <v>90.519999999999982</v>
      </c>
      <c r="I140" s="116">
        <f t="shared" si="34"/>
        <v>75</v>
      </c>
      <c r="J140" s="116">
        <f t="shared" si="34"/>
        <v>228.99999999999818</v>
      </c>
      <c r="K140" s="98"/>
      <c r="L140" s="98"/>
      <c r="M140" s="98"/>
      <c r="N140" s="98"/>
    </row>
    <row r="141" spans="3:14" ht="18" customHeight="1">
      <c r="C141" s="112" t="s">
        <v>183</v>
      </c>
      <c r="D141" s="125">
        <f t="shared" si="34"/>
        <v>9.9999999999998979E-3</v>
      </c>
      <c r="E141" s="125">
        <f t="shared" si="34"/>
        <v>0</v>
      </c>
      <c r="F141" s="125">
        <f t="shared" si="34"/>
        <v>1.9999999999999907E-2</v>
      </c>
      <c r="G141" s="125">
        <f t="shared" si="34"/>
        <v>8.9999999999999969E-2</v>
      </c>
      <c r="H141" s="125">
        <f t="shared" si="34"/>
        <v>8.0000000000000071E-2</v>
      </c>
      <c r="I141" s="125">
        <f t="shared" si="34"/>
        <v>5.0000000000000044E-2</v>
      </c>
      <c r="J141" s="125">
        <f t="shared" si="34"/>
        <v>4.4784356699652861E-2</v>
      </c>
      <c r="K141" s="98"/>
      <c r="L141" s="98"/>
      <c r="M141" s="98"/>
      <c r="N141" s="98"/>
    </row>
    <row r="142" spans="3:14" ht="18" customHeight="1">
      <c r="C142" s="112" t="s">
        <v>321</v>
      </c>
      <c r="D142" s="127">
        <f t="shared" si="34"/>
        <v>-0.10000423253549684</v>
      </c>
      <c r="E142" s="127">
        <f t="shared" si="34"/>
        <v>0</v>
      </c>
      <c r="F142" s="127">
        <f t="shared" si="34"/>
        <v>9.9998141816559638E-2</v>
      </c>
      <c r="G142" s="127">
        <f t="shared" si="34"/>
        <v>1.25</v>
      </c>
      <c r="H142" s="127">
        <f t="shared" si="34"/>
        <v>1.2499999999999964</v>
      </c>
      <c r="I142" s="127">
        <f t="shared" si="34"/>
        <v>1.2499999999999964</v>
      </c>
      <c r="J142" s="127">
        <f t="shared" si="34"/>
        <v>0.70736062469427452</v>
      </c>
      <c r="K142" s="98"/>
      <c r="L142" s="98"/>
      <c r="M142" s="98"/>
      <c r="N142" s="98"/>
    </row>
    <row r="143" spans="3:14" ht="18" customHeight="1">
      <c r="C143" s="109" t="s">
        <v>237</v>
      </c>
      <c r="D143" s="120">
        <f t="shared" si="34"/>
        <v>-308.79000000000087</v>
      </c>
      <c r="E143" s="120">
        <f t="shared" si="34"/>
        <v>-242</v>
      </c>
      <c r="F143" s="120">
        <f t="shared" si="34"/>
        <v>-151.53000000000611</v>
      </c>
      <c r="G143" s="120">
        <f t="shared" si="34"/>
        <v>3623.25</v>
      </c>
      <c r="H143" s="120">
        <f t="shared" si="34"/>
        <v>3595.6899999999987</v>
      </c>
      <c r="I143" s="120">
        <f t="shared" si="34"/>
        <v>3235.4999999999964</v>
      </c>
      <c r="J143" s="120">
        <f t="shared" si="34"/>
        <v>9752.1199999999953</v>
      </c>
      <c r="K143" s="98"/>
      <c r="L143" s="98"/>
      <c r="M143" s="98"/>
      <c r="N143" s="98"/>
    </row>
    <row r="144" spans="3:14" ht="18" customHeight="1">
      <c r="C144" s="112" t="s">
        <v>186</v>
      </c>
      <c r="D144" s="127">
        <f t="shared" si="34"/>
        <v>9.9999999999997868E-2</v>
      </c>
      <c r="E144" s="127">
        <f t="shared" si="34"/>
        <v>-0.19999999999999929</v>
      </c>
      <c r="F144" s="127">
        <f t="shared" si="34"/>
        <v>9.9999999999997868E-2</v>
      </c>
      <c r="G144" s="127">
        <f t="shared" si="34"/>
        <v>0.19999999999999929</v>
      </c>
      <c r="H144" s="127">
        <f t="shared" si="34"/>
        <v>0.29999999999999716</v>
      </c>
      <c r="I144" s="127">
        <f t="shared" si="34"/>
        <v>0.30000000000000071</v>
      </c>
      <c r="J144" s="127">
        <f t="shared" si="34"/>
        <v>0.14770830475544372</v>
      </c>
      <c r="K144" s="98"/>
      <c r="L144" s="98"/>
      <c r="M144" s="98"/>
      <c r="N144" s="98"/>
    </row>
    <row r="145" spans="3:14" ht="18" customHeight="1">
      <c r="C145" s="109" t="s">
        <v>238</v>
      </c>
      <c r="D145" s="120">
        <f t="shared" si="34"/>
        <v>-703.70000000000073</v>
      </c>
      <c r="E145" s="120">
        <f t="shared" si="34"/>
        <v>-694.79999999999927</v>
      </c>
      <c r="F145" s="120">
        <f t="shared" si="34"/>
        <v>-1574.8000000000029</v>
      </c>
      <c r="G145" s="120">
        <f t="shared" si="34"/>
        <v>-2490</v>
      </c>
      <c r="H145" s="120">
        <f t="shared" si="34"/>
        <v>-2380.8000000000029</v>
      </c>
      <c r="I145" s="120">
        <f t="shared" si="34"/>
        <v>-805.5</v>
      </c>
      <c r="J145" s="120">
        <f t="shared" si="34"/>
        <v>-8649.5999999999767</v>
      </c>
      <c r="K145" s="98"/>
      <c r="L145" s="98"/>
      <c r="M145" s="98"/>
      <c r="N145" s="98"/>
    </row>
    <row r="146" spans="3:14" ht="18" customHeight="1">
      <c r="C146" s="112" t="s">
        <v>187</v>
      </c>
      <c r="D146" s="133">
        <f t="shared" ref="D146:J146" si="35">(D113-D80)*100</f>
        <v>-6.9388939039072284E-16</v>
      </c>
      <c r="E146" s="133">
        <f t="shared" si="35"/>
        <v>0</v>
      </c>
      <c r="F146" s="133">
        <f t="shared" si="35"/>
        <v>0</v>
      </c>
      <c r="G146" s="133">
        <f t="shared" si="35"/>
        <v>0</v>
      </c>
      <c r="H146" s="133">
        <f t="shared" si="35"/>
        <v>0</v>
      </c>
      <c r="I146" s="133">
        <f t="shared" si="35"/>
        <v>0</v>
      </c>
      <c r="J146" s="133">
        <f t="shared" si="35"/>
        <v>-6.9388939039072284E-16</v>
      </c>
      <c r="K146" s="98"/>
      <c r="L146" s="98"/>
      <c r="M146" s="98"/>
      <c r="N146" s="98"/>
    </row>
    <row r="147" spans="3:14" ht="18" customHeight="1">
      <c r="C147" s="109" t="s">
        <v>239</v>
      </c>
      <c r="D147" s="120">
        <f t="shared" ref="D147:J155" si="36">D114-D81</f>
        <v>-227.76000000000022</v>
      </c>
      <c r="E147" s="120">
        <f t="shared" si="36"/>
        <v>-98.02560000000085</v>
      </c>
      <c r="F147" s="120">
        <f t="shared" si="36"/>
        <v>-620.88799999999719</v>
      </c>
      <c r="G147" s="120">
        <f t="shared" si="36"/>
        <v>-1087.2199999999993</v>
      </c>
      <c r="H147" s="120">
        <f t="shared" si="36"/>
        <v>-1286.3479999999981</v>
      </c>
      <c r="I147" s="120">
        <f t="shared" si="36"/>
        <v>-607.4280000000017</v>
      </c>
      <c r="J147" s="120">
        <f t="shared" si="36"/>
        <v>-3927.6695999999938</v>
      </c>
      <c r="K147" s="98"/>
      <c r="L147" s="98"/>
      <c r="M147" s="98"/>
      <c r="N147" s="98"/>
    </row>
    <row r="148" spans="3:14" ht="18" customHeight="1">
      <c r="C148" s="109" t="s">
        <v>322</v>
      </c>
      <c r="D148" s="129">
        <f t="shared" si="36"/>
        <v>0</v>
      </c>
      <c r="E148" s="129">
        <f t="shared" si="36"/>
        <v>0</v>
      </c>
      <c r="F148" s="129">
        <f t="shared" si="36"/>
        <v>0</v>
      </c>
      <c r="G148" s="129">
        <f t="shared" si="36"/>
        <v>0</v>
      </c>
      <c r="H148" s="129">
        <f t="shared" si="36"/>
        <v>0</v>
      </c>
      <c r="I148" s="129">
        <f t="shared" si="36"/>
        <v>0</v>
      </c>
      <c r="J148" s="129">
        <f t="shared" si="36"/>
        <v>0</v>
      </c>
      <c r="K148" s="98"/>
      <c r="L148" s="98"/>
      <c r="M148" s="98"/>
      <c r="N148" s="98"/>
    </row>
    <row r="149" spans="3:14" ht="18" customHeight="1">
      <c r="C149" s="109" t="s">
        <v>323</v>
      </c>
      <c r="D149" s="118">
        <f t="shared" si="36"/>
        <v>-20</v>
      </c>
      <c r="E149" s="118">
        <f t="shared" si="36"/>
        <v>5</v>
      </c>
      <c r="F149" s="118">
        <f t="shared" si="36"/>
        <v>15</v>
      </c>
      <c r="G149" s="118">
        <f t="shared" si="36"/>
        <v>40</v>
      </c>
      <c r="H149" s="118">
        <f t="shared" si="36"/>
        <v>70</v>
      </c>
      <c r="I149" s="118">
        <f t="shared" si="36"/>
        <v>50</v>
      </c>
      <c r="J149" s="118">
        <f t="shared" si="36"/>
        <v>26.66666666666697</v>
      </c>
      <c r="K149" s="98"/>
      <c r="L149" s="98"/>
      <c r="M149" s="98"/>
      <c r="N149" s="98"/>
    </row>
    <row r="150" spans="3:14" ht="18" customHeight="1">
      <c r="C150" s="109" t="s">
        <v>280</v>
      </c>
      <c r="D150" s="120">
        <f t="shared" si="36"/>
        <v>-100</v>
      </c>
      <c r="E150" s="120">
        <f t="shared" si="36"/>
        <v>25</v>
      </c>
      <c r="F150" s="120">
        <f t="shared" si="36"/>
        <v>75</v>
      </c>
      <c r="G150" s="120">
        <f t="shared" si="36"/>
        <v>200</v>
      </c>
      <c r="H150" s="120">
        <f t="shared" si="36"/>
        <v>350</v>
      </c>
      <c r="I150" s="120">
        <f t="shared" si="36"/>
        <v>250</v>
      </c>
      <c r="J150" s="120">
        <f t="shared" si="36"/>
        <v>800</v>
      </c>
      <c r="K150" s="98"/>
      <c r="L150" s="98"/>
      <c r="M150" s="98"/>
      <c r="N150" s="98"/>
    </row>
    <row r="151" spans="3:14" ht="18" customHeight="1">
      <c r="C151" s="109" t="s">
        <v>67</v>
      </c>
      <c r="D151" s="120">
        <f t="shared" si="36"/>
        <v>0</v>
      </c>
      <c r="E151" s="120">
        <f t="shared" si="36"/>
        <v>0</v>
      </c>
      <c r="F151" s="120">
        <f t="shared" si="36"/>
        <v>0</v>
      </c>
      <c r="G151" s="120">
        <f t="shared" si="36"/>
        <v>0</v>
      </c>
      <c r="H151" s="120">
        <f t="shared" si="36"/>
        <v>0</v>
      </c>
      <c r="I151" s="120">
        <f t="shared" si="36"/>
        <v>0</v>
      </c>
      <c r="J151" s="120">
        <f t="shared" si="36"/>
        <v>0</v>
      </c>
      <c r="K151" s="98"/>
      <c r="L151" s="98"/>
      <c r="M151" s="98"/>
      <c r="N151" s="98"/>
    </row>
    <row r="152" spans="3:14" ht="18" customHeight="1">
      <c r="C152" s="109" t="s">
        <v>191</v>
      </c>
      <c r="D152" s="120">
        <f t="shared" si="36"/>
        <v>50</v>
      </c>
      <c r="E152" s="120">
        <f t="shared" si="36"/>
        <v>-180</v>
      </c>
      <c r="F152" s="120">
        <f t="shared" si="36"/>
        <v>120</v>
      </c>
      <c r="G152" s="120">
        <f t="shared" si="36"/>
        <v>110</v>
      </c>
      <c r="H152" s="120">
        <f t="shared" si="36"/>
        <v>1450</v>
      </c>
      <c r="I152" s="120">
        <f t="shared" si="36"/>
        <v>210</v>
      </c>
      <c r="J152" s="120">
        <f t="shared" si="36"/>
        <v>1760</v>
      </c>
      <c r="K152" s="98"/>
      <c r="L152" s="98"/>
      <c r="M152" s="98"/>
      <c r="N152" s="98"/>
    </row>
    <row r="153" spans="3:14" ht="18" customHeight="1">
      <c r="C153" s="109" t="s">
        <v>71</v>
      </c>
      <c r="D153" s="120">
        <f t="shared" si="36"/>
        <v>200</v>
      </c>
      <c r="E153" s="120">
        <f t="shared" si="36"/>
        <v>-200</v>
      </c>
      <c r="F153" s="120">
        <f t="shared" si="36"/>
        <v>300</v>
      </c>
      <c r="G153" s="120">
        <f t="shared" si="36"/>
        <v>100</v>
      </c>
      <c r="H153" s="120">
        <f t="shared" si="36"/>
        <v>200</v>
      </c>
      <c r="I153" s="120">
        <f t="shared" si="36"/>
        <v>-18000</v>
      </c>
      <c r="J153" s="120">
        <f t="shared" si="36"/>
        <v>-17400</v>
      </c>
      <c r="K153" s="98"/>
      <c r="L153" s="98"/>
      <c r="M153" s="98"/>
      <c r="N153" s="98"/>
    </row>
    <row r="154" spans="3:14" ht="18" customHeight="1">
      <c r="C154" s="121" t="s">
        <v>245</v>
      </c>
      <c r="D154" s="123">
        <f t="shared" si="36"/>
        <v>-1090.25</v>
      </c>
      <c r="E154" s="123">
        <f t="shared" si="36"/>
        <v>-1389.825600000011</v>
      </c>
      <c r="F154" s="123">
        <f t="shared" si="36"/>
        <v>-1852.2180000000226</v>
      </c>
      <c r="G154" s="123">
        <f t="shared" si="36"/>
        <v>456.02999999999884</v>
      </c>
      <c r="H154" s="123">
        <f t="shared" si="36"/>
        <v>1928.5419999999867</v>
      </c>
      <c r="I154" s="123">
        <f t="shared" si="36"/>
        <v>-15717.427999999985</v>
      </c>
      <c r="J154" s="123">
        <f t="shared" si="36"/>
        <v>-17665.149599999888</v>
      </c>
      <c r="K154" s="98"/>
      <c r="L154" s="98"/>
      <c r="M154" s="98"/>
      <c r="N154" s="98"/>
    </row>
    <row r="155" spans="3:14" ht="18" customHeight="1">
      <c r="C155" s="121" t="s">
        <v>246</v>
      </c>
      <c r="D155" s="123">
        <f t="shared" si="36"/>
        <v>-4603.75</v>
      </c>
      <c r="E155" s="123">
        <f t="shared" si="36"/>
        <v>-1060.8144000000029</v>
      </c>
      <c r="F155" s="123">
        <f t="shared" si="36"/>
        <v>-13669.981999999931</v>
      </c>
      <c r="G155" s="123">
        <f t="shared" si="36"/>
        <v>-27636.53</v>
      </c>
      <c r="H155" s="123">
        <f t="shared" si="36"/>
        <v>-34087.24199999994</v>
      </c>
      <c r="I155" s="123">
        <f t="shared" si="36"/>
        <v>531.72799999997369</v>
      </c>
      <c r="J155" s="123">
        <f t="shared" si="36"/>
        <v>-80526.59039999987</v>
      </c>
      <c r="K155" s="98"/>
      <c r="L155" s="98"/>
      <c r="M155" s="98"/>
      <c r="N155" s="98"/>
    </row>
    <row r="156" spans="3:14" ht="18" customHeight="1">
      <c r="C156" s="130" t="s">
        <v>247</v>
      </c>
      <c r="D156" s="134">
        <f t="shared" ref="D156:J156" si="37">(D123-D90)*100</f>
        <v>-1.5458027137111807</v>
      </c>
      <c r="E156" s="134">
        <f t="shared" si="37"/>
        <v>-0.30804092964106522</v>
      </c>
      <c r="F156" s="134">
        <f t="shared" si="37"/>
        <v>-3.2657280239539372</v>
      </c>
      <c r="G156" s="134">
        <f t="shared" si="37"/>
        <v>-6.4483621138588214</v>
      </c>
      <c r="H156" s="134">
        <f t="shared" si="37"/>
        <v>-6.5594029311140334</v>
      </c>
      <c r="I156" s="134">
        <f t="shared" si="37"/>
        <v>1.610535991706169</v>
      </c>
      <c r="J156" s="134">
        <f t="shared" si="37"/>
        <v>-2.9507680555668605</v>
      </c>
      <c r="K156" s="98"/>
      <c r="L156" s="98"/>
      <c r="M156" s="98"/>
      <c r="N156" s="98"/>
    </row>
    <row r="157" spans="3:14" ht="18" customHeight="1"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</row>
    <row r="158" spans="3:14" ht="24" customHeight="1">
      <c r="C158" s="162" t="s">
        <v>329</v>
      </c>
      <c r="D158" s="163"/>
      <c r="E158" s="163"/>
      <c r="F158" s="163"/>
      <c r="G158" s="163"/>
      <c r="H158" s="163"/>
      <c r="I158" s="163"/>
      <c r="J158" s="164"/>
      <c r="K158" s="98"/>
      <c r="L158" s="98"/>
      <c r="M158" s="98"/>
      <c r="N158" s="98"/>
    </row>
    <row r="159" spans="3:14" ht="18" customHeight="1">
      <c r="C159" s="259" t="s">
        <v>330</v>
      </c>
      <c r="D159" s="259"/>
      <c r="E159" s="259"/>
      <c r="F159" s="259"/>
      <c r="G159" s="259"/>
      <c r="H159" s="259"/>
      <c r="I159" s="259"/>
      <c r="J159" s="259"/>
      <c r="K159" s="98"/>
      <c r="L159" s="98"/>
      <c r="M159" s="98"/>
      <c r="N159" s="98"/>
    </row>
    <row r="160" spans="3:14" ht="32" customHeight="1">
      <c r="C160" s="166" t="s">
        <v>218</v>
      </c>
      <c r="D160" s="169">
        <v>46023</v>
      </c>
      <c r="E160" s="169">
        <v>46054</v>
      </c>
      <c r="F160" s="169">
        <v>46082</v>
      </c>
      <c r="G160" s="169">
        <v>46113</v>
      </c>
      <c r="H160" s="169">
        <v>46143</v>
      </c>
      <c r="I160" s="169">
        <v>46174</v>
      </c>
      <c r="J160" s="168" t="s">
        <v>326</v>
      </c>
      <c r="K160" s="98"/>
      <c r="L160" s="98"/>
      <c r="M160" s="98"/>
      <c r="N160" s="98"/>
    </row>
    <row r="161" spans="3:14" ht="18" customHeight="1">
      <c r="C161" s="106" t="s">
        <v>331</v>
      </c>
      <c r="D161" s="142">
        <f t="shared" ref="D161:J161" si="38">D62</f>
        <v>1705</v>
      </c>
      <c r="E161" s="142">
        <f t="shared" si="38"/>
        <v>1624</v>
      </c>
      <c r="F161" s="142">
        <f t="shared" si="38"/>
        <v>2015</v>
      </c>
      <c r="G161" s="142">
        <f t="shared" si="38"/>
        <v>2100</v>
      </c>
      <c r="H161" s="142">
        <f t="shared" si="38"/>
        <v>2294</v>
      </c>
      <c r="I161" s="142">
        <f t="shared" si="38"/>
        <v>2340</v>
      </c>
      <c r="J161" s="142">
        <f t="shared" si="38"/>
        <v>12078</v>
      </c>
      <c r="K161" s="98"/>
      <c r="L161" s="98"/>
      <c r="M161" s="98"/>
      <c r="N161" s="98"/>
    </row>
    <row r="162" spans="3:14" ht="18" customHeight="1">
      <c r="C162" s="109" t="s">
        <v>332</v>
      </c>
      <c r="D162" s="116">
        <f t="shared" ref="D162:J162" si="39">D95</f>
        <v>1658</v>
      </c>
      <c r="E162" s="116">
        <f t="shared" si="39"/>
        <v>1604</v>
      </c>
      <c r="F162" s="116">
        <f t="shared" si="39"/>
        <v>1922</v>
      </c>
      <c r="G162" s="116">
        <f t="shared" si="39"/>
        <v>1950</v>
      </c>
      <c r="H162" s="116">
        <f t="shared" si="39"/>
        <v>2139</v>
      </c>
      <c r="I162" s="116">
        <f t="shared" si="39"/>
        <v>2265</v>
      </c>
      <c r="J162" s="116">
        <f t="shared" si="39"/>
        <v>11538</v>
      </c>
      <c r="K162" s="98"/>
      <c r="L162" s="98"/>
      <c r="M162" s="98"/>
      <c r="N162" s="98"/>
    </row>
    <row r="163" spans="3:14" ht="18" customHeight="1">
      <c r="C163" s="109" t="s">
        <v>333</v>
      </c>
      <c r="D163" s="136">
        <f t="shared" ref="D163:J163" si="40">D66</f>
        <v>0.3</v>
      </c>
      <c r="E163" s="136">
        <f t="shared" si="40"/>
        <v>0.31</v>
      </c>
      <c r="F163" s="136">
        <f t="shared" si="40"/>
        <v>0.32</v>
      </c>
      <c r="G163" s="136">
        <f t="shared" si="40"/>
        <v>0.34</v>
      </c>
      <c r="H163" s="136">
        <f t="shared" si="40"/>
        <v>0.35</v>
      </c>
      <c r="I163" s="136">
        <f t="shared" si="40"/>
        <v>0.36</v>
      </c>
      <c r="J163" s="136">
        <f t="shared" si="40"/>
        <v>0.33275707898658724</v>
      </c>
      <c r="K163" s="98"/>
      <c r="L163" s="98"/>
      <c r="M163" s="98"/>
      <c r="N163" s="98"/>
    </row>
    <row r="164" spans="3:14" ht="18" customHeight="1">
      <c r="C164" s="109" t="s">
        <v>334</v>
      </c>
      <c r="D164" s="136">
        <f t="shared" ref="D164:J164" si="41">D99</f>
        <v>0.3100120627261761</v>
      </c>
      <c r="E164" s="136">
        <f t="shared" si="41"/>
        <v>0.32980049875311723</v>
      </c>
      <c r="F164" s="136">
        <f t="shared" si="41"/>
        <v>0.37981269510926119</v>
      </c>
      <c r="G164" s="136">
        <f t="shared" si="41"/>
        <v>0.43025641025641026</v>
      </c>
      <c r="H164" s="136">
        <f t="shared" si="41"/>
        <v>0.45021037868162694</v>
      </c>
      <c r="I164" s="136">
        <f t="shared" si="41"/>
        <v>0.41986754966887418</v>
      </c>
      <c r="J164" s="136">
        <f t="shared" si="41"/>
        <v>0.39226902409429709</v>
      </c>
      <c r="K164" s="98"/>
      <c r="L164" s="98"/>
      <c r="M164" s="98"/>
      <c r="N164" s="98"/>
    </row>
    <row r="165" spans="3:14" ht="18" customHeight="1">
      <c r="C165" s="109" t="s">
        <v>335</v>
      </c>
      <c r="D165" s="118">
        <f t="shared" ref="D165:J165" si="42">D67</f>
        <v>150</v>
      </c>
      <c r="E165" s="118">
        <f t="shared" si="42"/>
        <v>152</v>
      </c>
      <c r="F165" s="118">
        <f t="shared" si="42"/>
        <v>158</v>
      </c>
      <c r="G165" s="118">
        <f t="shared" si="42"/>
        <v>164</v>
      </c>
      <c r="H165" s="118">
        <f t="shared" si="42"/>
        <v>172</v>
      </c>
      <c r="I165" s="118">
        <f t="shared" si="42"/>
        <v>180</v>
      </c>
      <c r="J165" s="118">
        <f t="shared" si="42"/>
        <v>163.69145894755647</v>
      </c>
      <c r="K165" s="98"/>
      <c r="L165" s="98"/>
      <c r="M165" s="98"/>
      <c r="N165" s="98"/>
    </row>
    <row r="166" spans="3:14" ht="18" customHeight="1">
      <c r="C166" s="109" t="s">
        <v>336</v>
      </c>
      <c r="D166" s="118">
        <f t="shared" ref="D166:J166" si="43">D100</f>
        <v>151</v>
      </c>
      <c r="E166" s="118">
        <f t="shared" si="43"/>
        <v>153</v>
      </c>
      <c r="F166" s="118">
        <f t="shared" si="43"/>
        <v>158.5</v>
      </c>
      <c r="G166" s="118">
        <f t="shared" si="43"/>
        <v>164</v>
      </c>
      <c r="H166" s="118">
        <f t="shared" si="43"/>
        <v>171</v>
      </c>
      <c r="I166" s="118">
        <f t="shared" si="43"/>
        <v>181</v>
      </c>
      <c r="J166" s="118">
        <f t="shared" si="43"/>
        <v>163.61737022247576</v>
      </c>
      <c r="K166" s="98"/>
      <c r="L166" s="98"/>
      <c r="M166" s="98"/>
      <c r="N166" s="98"/>
    </row>
    <row r="167" spans="3:14" ht="18" customHeight="1">
      <c r="C167" s="109" t="s">
        <v>337</v>
      </c>
      <c r="D167" s="118">
        <f t="shared" ref="D167:J167" si="44">D68</f>
        <v>132</v>
      </c>
      <c r="E167" s="118">
        <f t="shared" si="44"/>
        <v>133</v>
      </c>
      <c r="F167" s="118">
        <f t="shared" si="44"/>
        <v>137</v>
      </c>
      <c r="G167" s="118">
        <f t="shared" si="44"/>
        <v>140</v>
      </c>
      <c r="H167" s="118">
        <f t="shared" si="44"/>
        <v>145</v>
      </c>
      <c r="I167" s="118">
        <f t="shared" si="44"/>
        <v>148</v>
      </c>
      <c r="J167" s="118">
        <f t="shared" si="44"/>
        <v>140.29937995143115</v>
      </c>
      <c r="K167" s="98"/>
      <c r="L167" s="98"/>
      <c r="M167" s="98"/>
      <c r="N167" s="98"/>
    </row>
    <row r="168" spans="3:14" ht="18" customHeight="1">
      <c r="C168" s="109" t="s">
        <v>338</v>
      </c>
      <c r="D168" s="118">
        <f t="shared" ref="D168:J168" si="45">D101</f>
        <v>132.5</v>
      </c>
      <c r="E168" s="118">
        <f t="shared" si="45"/>
        <v>133</v>
      </c>
      <c r="F168" s="118">
        <f t="shared" si="45"/>
        <v>137.5</v>
      </c>
      <c r="G168" s="118">
        <f t="shared" si="45"/>
        <v>140.5</v>
      </c>
      <c r="H168" s="118">
        <f t="shared" si="45"/>
        <v>145</v>
      </c>
      <c r="I168" s="118">
        <f t="shared" si="45"/>
        <v>148.5</v>
      </c>
      <c r="J168" s="118">
        <f t="shared" si="45"/>
        <v>140.86942112240388</v>
      </c>
      <c r="K168" s="98"/>
      <c r="L168" s="98"/>
      <c r="M168" s="98"/>
      <c r="N168" s="98"/>
    </row>
    <row r="169" spans="3:14" ht="18" customHeight="1">
      <c r="C169" s="109" t="s">
        <v>339</v>
      </c>
      <c r="D169" s="120">
        <f t="shared" ref="D169:I169" si="46">(D162-D161)*((1-D163)*D165+D163*D167)</f>
        <v>-6796.2</v>
      </c>
      <c r="E169" s="120">
        <f t="shared" si="46"/>
        <v>-2922.2</v>
      </c>
      <c r="F169" s="120">
        <f t="shared" si="46"/>
        <v>-14069.039999999997</v>
      </c>
      <c r="G169" s="120">
        <f t="shared" si="46"/>
        <v>-23375.999999999996</v>
      </c>
      <c r="H169" s="120">
        <f t="shared" si="46"/>
        <v>-25195.25</v>
      </c>
      <c r="I169" s="120">
        <f t="shared" si="46"/>
        <v>-12636.000000000002</v>
      </c>
      <c r="J169" s="120">
        <f>SUM(D169:I169)</f>
        <v>-84994.689999999988</v>
      </c>
      <c r="K169" s="98"/>
      <c r="L169" s="98"/>
      <c r="M169" s="98"/>
      <c r="N169" s="98"/>
    </row>
    <row r="170" spans="3:14" ht="18" customHeight="1">
      <c r="C170" s="109" t="s">
        <v>340</v>
      </c>
      <c r="D170" s="120">
        <f t="shared" ref="D170:I170" si="47">D162*(((1-D164)*D165+D164*D167)-((1-D163)*D165+D163*D167))</f>
        <v>-298.79999999999478</v>
      </c>
      <c r="E170" s="120">
        <f t="shared" si="47"/>
        <v>-603.43999999997868</v>
      </c>
      <c r="F170" s="120">
        <f t="shared" si="47"/>
        <v>-2414.1599999999312</v>
      </c>
      <c r="G170" s="120">
        <f t="shared" si="47"/>
        <v>-4223.9999999999736</v>
      </c>
      <c r="H170" s="120">
        <f t="shared" si="47"/>
        <v>-5787.4499999999862</v>
      </c>
      <c r="I170" s="120">
        <f t="shared" si="47"/>
        <v>-4339.2000000000262</v>
      </c>
      <c r="J170" s="120">
        <f>SUM(D170:I170)</f>
        <v>-17667.04999999989</v>
      </c>
      <c r="K170" s="98"/>
      <c r="L170" s="98"/>
      <c r="M170" s="98"/>
      <c r="N170" s="98"/>
    </row>
    <row r="171" spans="3:14" ht="18" customHeight="1">
      <c r="C171" s="109" t="s">
        <v>341</v>
      </c>
      <c r="D171" s="120">
        <f t="shared" ref="D171:I171" si="48">D162*((1-D164)*(D166-D165)+D164*(D168-D167))</f>
        <v>1401</v>
      </c>
      <c r="E171" s="120">
        <f t="shared" si="48"/>
        <v>1075</v>
      </c>
      <c r="F171" s="120">
        <f t="shared" si="48"/>
        <v>961</v>
      </c>
      <c r="G171" s="120">
        <f t="shared" si="48"/>
        <v>419.5</v>
      </c>
      <c r="H171" s="120">
        <f t="shared" si="48"/>
        <v>-1176</v>
      </c>
      <c r="I171" s="120">
        <f t="shared" si="48"/>
        <v>1789.5</v>
      </c>
      <c r="J171" s="120">
        <f>SUM(D171:I171)</f>
        <v>4470</v>
      </c>
      <c r="K171" s="98"/>
      <c r="L171" s="98"/>
      <c r="M171" s="98"/>
      <c r="N171" s="98"/>
    </row>
    <row r="172" spans="3:14" ht="18" customHeight="1">
      <c r="C172" s="121" t="s">
        <v>342</v>
      </c>
      <c r="D172" s="123">
        <f t="shared" ref="D172:I172" si="49">SUM(D169:D171)</f>
        <v>-5693.9999999999945</v>
      </c>
      <c r="E172" s="123">
        <f t="shared" si="49"/>
        <v>-2450.6399999999785</v>
      </c>
      <c r="F172" s="123">
        <f t="shared" si="49"/>
        <v>-15522.199999999928</v>
      </c>
      <c r="G172" s="123">
        <f t="shared" si="49"/>
        <v>-27180.499999999971</v>
      </c>
      <c r="H172" s="123">
        <f t="shared" si="49"/>
        <v>-32158.699999999986</v>
      </c>
      <c r="I172" s="123">
        <f t="shared" si="49"/>
        <v>-15185.700000000026</v>
      </c>
      <c r="J172" s="123">
        <f>SUM(D172:I172)</f>
        <v>-98191.739999999889</v>
      </c>
      <c r="K172" s="98"/>
      <c r="L172" s="98"/>
      <c r="M172" s="98"/>
      <c r="N172" s="98"/>
    </row>
    <row r="173" spans="3:14" ht="18" customHeight="1">
      <c r="C173" s="121" t="s">
        <v>343</v>
      </c>
      <c r="D173" s="123">
        <f t="shared" ref="D173:J173" si="50">D106-D73</f>
        <v>-5694</v>
      </c>
      <c r="E173" s="123">
        <f t="shared" si="50"/>
        <v>-2450.640000000014</v>
      </c>
      <c r="F173" s="123">
        <f t="shared" si="50"/>
        <v>-15522.199999999953</v>
      </c>
      <c r="G173" s="123">
        <f t="shared" si="50"/>
        <v>-27180.5</v>
      </c>
      <c r="H173" s="123">
        <f t="shared" si="50"/>
        <v>-32158.699999999953</v>
      </c>
      <c r="I173" s="123">
        <f t="shared" si="50"/>
        <v>-15185.700000000012</v>
      </c>
      <c r="J173" s="123">
        <f t="shared" si="50"/>
        <v>-98191.739999999758</v>
      </c>
      <c r="K173" s="98"/>
      <c r="L173" s="98"/>
      <c r="M173" s="98"/>
      <c r="N173" s="98"/>
    </row>
    <row r="174" spans="3:14" ht="18" customHeight="1">
      <c r="C174" s="143" t="s">
        <v>344</v>
      </c>
      <c r="D174" s="144">
        <f t="shared" ref="D174:J174" si="51">D172-D173</f>
        <v>0</v>
      </c>
      <c r="E174" s="144">
        <f t="shared" si="51"/>
        <v>3.5470293369144201E-11</v>
      </c>
      <c r="F174" s="144">
        <f t="shared" si="51"/>
        <v>2.5465851649641991E-11</v>
      </c>
      <c r="G174" s="144">
        <f t="shared" si="51"/>
        <v>2.9103830456733704E-11</v>
      </c>
      <c r="H174" s="144">
        <f t="shared" si="51"/>
        <v>-3.2741809263825417E-11</v>
      </c>
      <c r="I174" s="144">
        <f t="shared" si="51"/>
        <v>-1.4551915228366852E-11</v>
      </c>
      <c r="J174" s="144">
        <f t="shared" si="51"/>
        <v>-1.3096723705530167E-10</v>
      </c>
      <c r="K174" s="98"/>
      <c r="L174" s="98"/>
      <c r="M174" s="98"/>
      <c r="N174" s="98"/>
    </row>
    <row r="175" spans="3:14" ht="18" customHeight="1"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</row>
    <row r="176" spans="3:14" ht="24" customHeight="1">
      <c r="C176" s="162" t="s">
        <v>345</v>
      </c>
      <c r="D176" s="163"/>
      <c r="E176" s="163"/>
      <c r="F176" s="163"/>
      <c r="G176" s="163"/>
      <c r="H176" s="163"/>
      <c r="I176" s="163"/>
      <c r="J176" s="164"/>
      <c r="K176" s="98"/>
      <c r="L176" s="98"/>
      <c r="M176" s="98"/>
      <c r="N176" s="98"/>
    </row>
    <row r="177" spans="3:14" ht="18" customHeight="1">
      <c r="C177" s="259" t="s">
        <v>346</v>
      </c>
      <c r="D177" s="259"/>
      <c r="E177" s="259"/>
      <c r="F177" s="259"/>
      <c r="G177" s="259"/>
      <c r="H177" s="259"/>
      <c r="I177" s="259"/>
      <c r="J177" s="259"/>
      <c r="K177" s="98"/>
      <c r="L177" s="98"/>
      <c r="M177" s="98"/>
      <c r="N177" s="98"/>
    </row>
    <row r="178" spans="3:14" ht="32" customHeight="1">
      <c r="C178" s="166" t="s">
        <v>218</v>
      </c>
      <c r="D178" s="169">
        <v>46023</v>
      </c>
      <c r="E178" s="169">
        <v>46054</v>
      </c>
      <c r="F178" s="169">
        <v>46082</v>
      </c>
      <c r="G178" s="169">
        <v>46113</v>
      </c>
      <c r="H178" s="169">
        <v>46143</v>
      </c>
      <c r="I178" s="169">
        <v>46174</v>
      </c>
      <c r="J178" s="168" t="s">
        <v>326</v>
      </c>
      <c r="K178" s="98"/>
      <c r="L178" s="98"/>
      <c r="M178" s="98"/>
      <c r="N178" s="98"/>
    </row>
    <row r="179" spans="3:14" ht="18" customHeight="1">
      <c r="C179" s="106" t="s">
        <v>331</v>
      </c>
      <c r="D179" s="142">
        <f t="shared" ref="D179:J179" si="52">D62</f>
        <v>1705</v>
      </c>
      <c r="E179" s="142">
        <f t="shared" si="52"/>
        <v>1624</v>
      </c>
      <c r="F179" s="142">
        <f t="shared" si="52"/>
        <v>2015</v>
      </c>
      <c r="G179" s="142">
        <f t="shared" si="52"/>
        <v>2100</v>
      </c>
      <c r="H179" s="142">
        <f t="shared" si="52"/>
        <v>2294</v>
      </c>
      <c r="I179" s="142">
        <f t="shared" si="52"/>
        <v>2340</v>
      </c>
      <c r="J179" s="142">
        <f t="shared" si="52"/>
        <v>12078</v>
      </c>
      <c r="K179" s="98"/>
      <c r="L179" s="98"/>
      <c r="M179" s="98"/>
      <c r="N179" s="98"/>
    </row>
    <row r="180" spans="3:14" ht="18" customHeight="1">
      <c r="C180" s="109" t="s">
        <v>332</v>
      </c>
      <c r="D180" s="116">
        <f t="shared" ref="D180:J180" si="53">D95</f>
        <v>1658</v>
      </c>
      <c r="E180" s="116">
        <f t="shared" si="53"/>
        <v>1604</v>
      </c>
      <c r="F180" s="116">
        <f t="shared" si="53"/>
        <v>1922</v>
      </c>
      <c r="G180" s="116">
        <f t="shared" si="53"/>
        <v>1950</v>
      </c>
      <c r="H180" s="116">
        <f t="shared" si="53"/>
        <v>2139</v>
      </c>
      <c r="I180" s="116">
        <f t="shared" si="53"/>
        <v>2265</v>
      </c>
      <c r="J180" s="116">
        <f t="shared" si="53"/>
        <v>11538</v>
      </c>
      <c r="K180" s="98"/>
      <c r="L180" s="98"/>
      <c r="M180" s="98"/>
      <c r="N180" s="98"/>
    </row>
    <row r="181" spans="3:14" ht="18" customHeight="1">
      <c r="C181" s="109" t="s">
        <v>347</v>
      </c>
      <c r="D181" s="145">
        <f t="shared" ref="D181:J181" si="54">D75</f>
        <v>0.56000000000000005</v>
      </c>
      <c r="E181" s="145">
        <f t="shared" si="54"/>
        <v>0.55000000000000004</v>
      </c>
      <c r="F181" s="145">
        <f t="shared" si="54"/>
        <v>0.54</v>
      </c>
      <c r="G181" s="145">
        <f t="shared" si="54"/>
        <v>0.53</v>
      </c>
      <c r="H181" s="145">
        <f t="shared" si="54"/>
        <v>0.52</v>
      </c>
      <c r="I181" s="145">
        <f t="shared" si="54"/>
        <v>0.51</v>
      </c>
      <c r="J181" s="145">
        <f t="shared" si="54"/>
        <v>0.53281834740851142</v>
      </c>
      <c r="K181" s="98"/>
      <c r="L181" s="98"/>
      <c r="M181" s="98"/>
      <c r="N181" s="98"/>
    </row>
    <row r="182" spans="3:14" ht="18" customHeight="1">
      <c r="C182" s="109" t="s">
        <v>348</v>
      </c>
      <c r="D182" s="145">
        <f t="shared" ref="D182:J182" si="55">D108</f>
        <v>0.56999999999999995</v>
      </c>
      <c r="E182" s="145">
        <f t="shared" si="55"/>
        <v>0.55000000000000004</v>
      </c>
      <c r="F182" s="145">
        <f t="shared" si="55"/>
        <v>0.55999999999999994</v>
      </c>
      <c r="G182" s="145">
        <f t="shared" si="55"/>
        <v>0.62</v>
      </c>
      <c r="H182" s="145">
        <f t="shared" si="55"/>
        <v>0.60000000000000009</v>
      </c>
      <c r="I182" s="145">
        <f t="shared" si="55"/>
        <v>0.56000000000000005</v>
      </c>
      <c r="J182" s="145">
        <f t="shared" si="55"/>
        <v>0.57760270410816428</v>
      </c>
      <c r="K182" s="98"/>
      <c r="L182" s="98"/>
      <c r="M182" s="98"/>
      <c r="N182" s="98"/>
    </row>
    <row r="183" spans="3:14" ht="18" customHeight="1">
      <c r="C183" s="109" t="s">
        <v>349</v>
      </c>
      <c r="D183" s="116">
        <f t="shared" ref="D183:J183" si="56">D74</f>
        <v>954.80000000000007</v>
      </c>
      <c r="E183" s="116">
        <f t="shared" si="56"/>
        <v>893.2</v>
      </c>
      <c r="F183" s="116">
        <f t="shared" si="56"/>
        <v>1088.1000000000001</v>
      </c>
      <c r="G183" s="116">
        <f t="shared" si="56"/>
        <v>1113</v>
      </c>
      <c r="H183" s="116">
        <f t="shared" si="56"/>
        <v>1192.8800000000001</v>
      </c>
      <c r="I183" s="116">
        <f t="shared" si="56"/>
        <v>1193.4000000000001</v>
      </c>
      <c r="J183" s="116">
        <f t="shared" si="56"/>
        <v>6435.380000000001</v>
      </c>
      <c r="K183" s="98"/>
      <c r="L183" s="98"/>
      <c r="M183" s="98"/>
      <c r="N183" s="98"/>
    </row>
    <row r="184" spans="3:14" ht="18" customHeight="1">
      <c r="C184" s="109" t="s">
        <v>350</v>
      </c>
      <c r="D184" s="116">
        <f t="shared" ref="D184:J184" si="57">D107</f>
        <v>945.06</v>
      </c>
      <c r="E184" s="116">
        <f t="shared" si="57"/>
        <v>882.2</v>
      </c>
      <c r="F184" s="116">
        <f t="shared" si="57"/>
        <v>1076.32</v>
      </c>
      <c r="G184" s="116">
        <f t="shared" si="57"/>
        <v>1209</v>
      </c>
      <c r="H184" s="116">
        <f t="shared" si="57"/>
        <v>1283.4000000000001</v>
      </c>
      <c r="I184" s="116">
        <f t="shared" si="57"/>
        <v>1268.4000000000001</v>
      </c>
      <c r="J184" s="116">
        <f t="shared" si="57"/>
        <v>6664.3799999999992</v>
      </c>
      <c r="K184" s="98"/>
      <c r="L184" s="98"/>
      <c r="M184" s="98"/>
      <c r="N184" s="98"/>
    </row>
    <row r="185" spans="3:14" ht="18" customHeight="1">
      <c r="C185" s="109" t="s">
        <v>351</v>
      </c>
      <c r="D185" s="118">
        <f t="shared" ref="D185:J185" si="58">D76</f>
        <v>22</v>
      </c>
      <c r="E185" s="118">
        <f t="shared" si="58"/>
        <v>22</v>
      </c>
      <c r="F185" s="118">
        <f t="shared" si="58"/>
        <v>22</v>
      </c>
      <c r="G185" s="118">
        <f t="shared" si="58"/>
        <v>22</v>
      </c>
      <c r="H185" s="118">
        <f t="shared" si="58"/>
        <v>22</v>
      </c>
      <c r="I185" s="118">
        <f t="shared" si="58"/>
        <v>22</v>
      </c>
      <c r="J185" s="118">
        <f t="shared" si="58"/>
        <v>22</v>
      </c>
      <c r="K185" s="98"/>
      <c r="L185" s="98"/>
      <c r="M185" s="98"/>
      <c r="N185" s="98"/>
    </row>
    <row r="186" spans="3:14" ht="18" customHeight="1">
      <c r="C186" s="109" t="s">
        <v>352</v>
      </c>
      <c r="D186" s="118">
        <f t="shared" ref="D186:J186" si="59">D109</f>
        <v>21.899995767464503</v>
      </c>
      <c r="E186" s="118">
        <f t="shared" si="59"/>
        <v>22</v>
      </c>
      <c r="F186" s="118">
        <f t="shared" si="59"/>
        <v>22.09999814181656</v>
      </c>
      <c r="G186" s="118">
        <f t="shared" si="59"/>
        <v>23.25</v>
      </c>
      <c r="H186" s="118">
        <f t="shared" si="59"/>
        <v>23.249999999999996</v>
      </c>
      <c r="I186" s="118">
        <f t="shared" si="59"/>
        <v>23.249999999999996</v>
      </c>
      <c r="J186" s="118">
        <f t="shared" si="59"/>
        <v>22.707360624694275</v>
      </c>
      <c r="K186" s="98"/>
      <c r="L186" s="98"/>
      <c r="M186" s="98"/>
      <c r="N186" s="98"/>
    </row>
    <row r="187" spans="3:14" ht="18" customHeight="1">
      <c r="C187" s="109" t="s">
        <v>353</v>
      </c>
      <c r="D187" s="120">
        <f t="shared" ref="D187:J187" si="60">D77</f>
        <v>21005.600000000002</v>
      </c>
      <c r="E187" s="120">
        <f t="shared" si="60"/>
        <v>19650.400000000001</v>
      </c>
      <c r="F187" s="120">
        <f t="shared" si="60"/>
        <v>23938.200000000004</v>
      </c>
      <c r="G187" s="120">
        <f t="shared" si="60"/>
        <v>24486</v>
      </c>
      <c r="H187" s="120">
        <f t="shared" si="60"/>
        <v>26243.360000000001</v>
      </c>
      <c r="I187" s="120">
        <f t="shared" si="60"/>
        <v>26254.800000000003</v>
      </c>
      <c r="J187" s="120">
        <f t="shared" si="60"/>
        <v>141578.36000000002</v>
      </c>
      <c r="K187" s="98"/>
      <c r="L187" s="98"/>
      <c r="M187" s="98"/>
      <c r="N187" s="98"/>
    </row>
    <row r="188" spans="3:14" ht="18" customHeight="1">
      <c r="C188" s="109" t="s">
        <v>354</v>
      </c>
      <c r="D188" s="120">
        <f t="shared" ref="D188:J188" si="61">D110</f>
        <v>20696.810000000001</v>
      </c>
      <c r="E188" s="120">
        <f t="shared" si="61"/>
        <v>19408.400000000001</v>
      </c>
      <c r="F188" s="120">
        <f t="shared" si="61"/>
        <v>23786.67</v>
      </c>
      <c r="G188" s="120">
        <f t="shared" si="61"/>
        <v>28109.25</v>
      </c>
      <c r="H188" s="120">
        <f t="shared" si="61"/>
        <v>29839.05</v>
      </c>
      <c r="I188" s="120">
        <f t="shared" si="61"/>
        <v>29490.3</v>
      </c>
      <c r="J188" s="120">
        <f t="shared" si="61"/>
        <v>151330.48000000001</v>
      </c>
      <c r="K188" s="98"/>
      <c r="L188" s="98"/>
      <c r="M188" s="98"/>
      <c r="N188" s="98"/>
    </row>
    <row r="189" spans="3:14" ht="18" customHeight="1">
      <c r="C189" s="109" t="s">
        <v>339</v>
      </c>
      <c r="D189" s="120">
        <f t="shared" ref="D189:I189" si="62">(D180-D179)*D181*D185</f>
        <v>-579.04000000000008</v>
      </c>
      <c r="E189" s="120">
        <f t="shared" si="62"/>
        <v>-242</v>
      </c>
      <c r="F189" s="120">
        <f t="shared" si="62"/>
        <v>-1104.8400000000001</v>
      </c>
      <c r="G189" s="120">
        <f t="shared" si="62"/>
        <v>-1749</v>
      </c>
      <c r="H189" s="120">
        <f t="shared" si="62"/>
        <v>-1773.2000000000003</v>
      </c>
      <c r="I189" s="120">
        <f t="shared" si="62"/>
        <v>-841.5</v>
      </c>
      <c r="J189" s="120">
        <f>SUM(D189:I189)</f>
        <v>-6289.58</v>
      </c>
      <c r="K189" s="98"/>
      <c r="L189" s="98"/>
      <c r="M189" s="98"/>
      <c r="N189" s="98"/>
    </row>
    <row r="190" spans="3:14" ht="18" customHeight="1">
      <c r="C190" s="109" t="s">
        <v>355</v>
      </c>
      <c r="D190" s="120">
        <f t="shared" ref="D190:I190" si="63">D180*(D182-D181)*D185</f>
        <v>364.7599999999963</v>
      </c>
      <c r="E190" s="120">
        <f t="shared" si="63"/>
        <v>0</v>
      </c>
      <c r="F190" s="120">
        <f t="shared" si="63"/>
        <v>845.67999999999608</v>
      </c>
      <c r="G190" s="120">
        <f t="shared" si="63"/>
        <v>3860.9999999999986</v>
      </c>
      <c r="H190" s="120">
        <f t="shared" si="63"/>
        <v>3764.6400000000031</v>
      </c>
      <c r="I190" s="120">
        <f t="shared" si="63"/>
        <v>2491.5000000000023</v>
      </c>
      <c r="J190" s="120">
        <f>SUM(D190:I190)</f>
        <v>11327.579999999996</v>
      </c>
      <c r="K190" s="98"/>
      <c r="L190" s="98"/>
      <c r="M190" s="98"/>
      <c r="N190" s="98"/>
    </row>
    <row r="191" spans="3:14" ht="18" customHeight="1">
      <c r="C191" s="109" t="s">
        <v>356</v>
      </c>
      <c r="D191" s="120">
        <f t="shared" ref="D191:I191" si="64">D184*(D186-D185)</f>
        <v>-94.509999999996637</v>
      </c>
      <c r="E191" s="120">
        <f t="shared" si="64"/>
        <v>0</v>
      </c>
      <c r="F191" s="120">
        <f t="shared" si="64"/>
        <v>107.62999999999947</v>
      </c>
      <c r="G191" s="120">
        <f t="shared" si="64"/>
        <v>1511.25</v>
      </c>
      <c r="H191" s="120">
        <f t="shared" si="64"/>
        <v>1604.2499999999955</v>
      </c>
      <c r="I191" s="120">
        <f t="shared" si="64"/>
        <v>1585.4999999999957</v>
      </c>
      <c r="J191" s="120">
        <f>SUM(D191:I191)</f>
        <v>4714.1199999999935</v>
      </c>
      <c r="K191" s="98"/>
      <c r="L191" s="98"/>
      <c r="M191" s="98"/>
      <c r="N191" s="98"/>
    </row>
    <row r="192" spans="3:14" ht="18" customHeight="1">
      <c r="C192" s="121" t="s">
        <v>342</v>
      </c>
      <c r="D192" s="123">
        <f t="shared" ref="D192:I192" si="65">SUM(D189:D191)</f>
        <v>-308.79000000000042</v>
      </c>
      <c r="E192" s="123">
        <f t="shared" si="65"/>
        <v>-242</v>
      </c>
      <c r="F192" s="123">
        <f t="shared" si="65"/>
        <v>-151.53000000000458</v>
      </c>
      <c r="G192" s="123">
        <f t="shared" si="65"/>
        <v>3623.2499999999986</v>
      </c>
      <c r="H192" s="123">
        <f t="shared" si="65"/>
        <v>3595.6899999999982</v>
      </c>
      <c r="I192" s="123">
        <f t="shared" si="65"/>
        <v>3235.4999999999982</v>
      </c>
      <c r="J192" s="123">
        <f>SUM(D192:I192)</f>
        <v>9752.1199999999899</v>
      </c>
      <c r="K192" s="98"/>
      <c r="L192" s="98"/>
      <c r="M192" s="98"/>
      <c r="N192" s="98"/>
    </row>
    <row r="193" spans="3:14" ht="18" customHeight="1">
      <c r="C193" s="121" t="s">
        <v>357</v>
      </c>
      <c r="D193" s="123">
        <f t="shared" ref="D193:J193" si="66">D188-D187</f>
        <v>-308.79000000000087</v>
      </c>
      <c r="E193" s="123">
        <f t="shared" si="66"/>
        <v>-242</v>
      </c>
      <c r="F193" s="123">
        <f t="shared" si="66"/>
        <v>-151.53000000000611</v>
      </c>
      <c r="G193" s="123">
        <f t="shared" si="66"/>
        <v>3623.25</v>
      </c>
      <c r="H193" s="123">
        <f t="shared" si="66"/>
        <v>3595.6899999999987</v>
      </c>
      <c r="I193" s="123">
        <f t="shared" si="66"/>
        <v>3235.4999999999964</v>
      </c>
      <c r="J193" s="123">
        <f t="shared" si="66"/>
        <v>9752.1199999999953</v>
      </c>
      <c r="K193" s="98"/>
      <c r="L193" s="98"/>
      <c r="M193" s="98"/>
      <c r="N193" s="98"/>
    </row>
    <row r="194" spans="3:14" ht="18" customHeight="1">
      <c r="C194" s="143" t="s">
        <v>344</v>
      </c>
      <c r="D194" s="144">
        <f t="shared" ref="D194:J194" si="67">D192-D193</f>
        <v>4.5474735088646412E-13</v>
      </c>
      <c r="E194" s="144">
        <f t="shared" si="67"/>
        <v>0</v>
      </c>
      <c r="F194" s="144">
        <f t="shared" si="67"/>
        <v>1.5347723092418164E-12</v>
      </c>
      <c r="G194" s="144">
        <f t="shared" si="67"/>
        <v>0</v>
      </c>
      <c r="H194" s="144">
        <f t="shared" si="67"/>
        <v>0</v>
      </c>
      <c r="I194" s="144">
        <f t="shared" si="67"/>
        <v>0</v>
      </c>
      <c r="J194" s="144">
        <f t="shared" si="67"/>
        <v>0</v>
      </c>
      <c r="K194" s="98"/>
      <c r="L194" s="98"/>
      <c r="M194" s="98"/>
      <c r="N194" s="98"/>
    </row>
    <row r="195" spans="3:14" ht="18" customHeight="1"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</row>
    <row r="196" spans="3:14" ht="24" customHeight="1">
      <c r="C196" s="162" t="s">
        <v>358</v>
      </c>
      <c r="D196" s="163"/>
      <c r="E196" s="163"/>
      <c r="F196" s="163"/>
      <c r="G196" s="163"/>
      <c r="H196" s="163"/>
      <c r="I196" s="163"/>
      <c r="J196" s="164"/>
      <c r="K196" s="98"/>
      <c r="L196" s="98"/>
      <c r="M196" s="98"/>
      <c r="N196" s="98"/>
    </row>
    <row r="197" spans="3:14" ht="18" customHeight="1">
      <c r="C197" s="259" t="s">
        <v>359</v>
      </c>
      <c r="D197" s="259"/>
      <c r="E197" s="259"/>
      <c r="F197" s="259"/>
      <c r="G197" s="259"/>
      <c r="H197" s="259"/>
      <c r="I197" s="259"/>
      <c r="J197" s="259"/>
      <c r="K197" s="98"/>
      <c r="L197" s="98"/>
      <c r="M197" s="98"/>
      <c r="N197" s="98"/>
    </row>
    <row r="198" spans="3:14" ht="32" customHeight="1">
      <c r="C198" s="166" t="s">
        <v>218</v>
      </c>
      <c r="D198" s="169">
        <v>46023</v>
      </c>
      <c r="E198" s="169">
        <v>46054</v>
      </c>
      <c r="F198" s="169">
        <v>46082</v>
      </c>
      <c r="G198" s="169">
        <v>46113</v>
      </c>
      <c r="H198" s="169">
        <v>46143</v>
      </c>
      <c r="I198" s="169">
        <v>46174</v>
      </c>
      <c r="J198" s="168" t="s">
        <v>326</v>
      </c>
      <c r="K198" s="98"/>
      <c r="L198" s="98"/>
      <c r="M198" s="98"/>
      <c r="N198" s="98"/>
    </row>
    <row r="199" spans="3:14" ht="18" customHeight="1">
      <c r="C199" s="106" t="s">
        <v>331</v>
      </c>
      <c r="D199" s="142">
        <f t="shared" ref="D199:J199" si="68">D62</f>
        <v>1705</v>
      </c>
      <c r="E199" s="142">
        <f t="shared" si="68"/>
        <v>1624</v>
      </c>
      <c r="F199" s="142">
        <f t="shared" si="68"/>
        <v>2015</v>
      </c>
      <c r="G199" s="142">
        <f t="shared" si="68"/>
        <v>2100</v>
      </c>
      <c r="H199" s="142">
        <f t="shared" si="68"/>
        <v>2294</v>
      </c>
      <c r="I199" s="142">
        <f t="shared" si="68"/>
        <v>2340</v>
      </c>
      <c r="J199" s="142">
        <f t="shared" si="68"/>
        <v>12078</v>
      </c>
      <c r="K199" s="98"/>
      <c r="L199" s="98"/>
      <c r="M199" s="98"/>
      <c r="N199" s="98"/>
    </row>
    <row r="200" spans="3:14" ht="18" customHeight="1">
      <c r="C200" s="109" t="s">
        <v>332</v>
      </c>
      <c r="D200" s="116">
        <f t="shared" ref="D200:J200" si="69">D95</f>
        <v>1658</v>
      </c>
      <c r="E200" s="116">
        <f t="shared" si="69"/>
        <v>1604</v>
      </c>
      <c r="F200" s="116">
        <f t="shared" si="69"/>
        <v>1922</v>
      </c>
      <c r="G200" s="116">
        <f t="shared" si="69"/>
        <v>1950</v>
      </c>
      <c r="H200" s="116">
        <f t="shared" si="69"/>
        <v>2139</v>
      </c>
      <c r="I200" s="116">
        <f t="shared" si="69"/>
        <v>2265</v>
      </c>
      <c r="J200" s="116">
        <f t="shared" si="69"/>
        <v>11538</v>
      </c>
      <c r="K200" s="98"/>
      <c r="L200" s="98"/>
      <c r="M200" s="98"/>
      <c r="N200" s="98"/>
    </row>
    <row r="201" spans="3:14" ht="18" customHeight="1">
      <c r="C201" s="109" t="s">
        <v>360</v>
      </c>
      <c r="D201" s="118">
        <f t="shared" ref="D201:J201" si="70">D78</f>
        <v>18.5</v>
      </c>
      <c r="E201" s="118">
        <f t="shared" si="70"/>
        <v>18.7</v>
      </c>
      <c r="F201" s="118">
        <f t="shared" si="70"/>
        <v>19</v>
      </c>
      <c r="G201" s="118">
        <f t="shared" si="70"/>
        <v>19.2</v>
      </c>
      <c r="H201" s="118">
        <f t="shared" si="70"/>
        <v>19.5</v>
      </c>
      <c r="I201" s="118">
        <f t="shared" si="70"/>
        <v>19.8</v>
      </c>
      <c r="J201" s="118">
        <f t="shared" si="70"/>
        <v>19.173811889385657</v>
      </c>
      <c r="K201" s="98"/>
      <c r="L201" s="98"/>
      <c r="M201" s="98"/>
      <c r="N201" s="98"/>
    </row>
    <row r="202" spans="3:14" ht="18" customHeight="1">
      <c r="C202" s="109" t="s">
        <v>361</v>
      </c>
      <c r="D202" s="118">
        <f t="shared" ref="D202:J202" si="71">D111</f>
        <v>18.599999999999998</v>
      </c>
      <c r="E202" s="118">
        <f t="shared" si="71"/>
        <v>18.5</v>
      </c>
      <c r="F202" s="118">
        <f t="shared" si="71"/>
        <v>19.099999999999998</v>
      </c>
      <c r="G202" s="118">
        <f t="shared" si="71"/>
        <v>19.399999999999999</v>
      </c>
      <c r="H202" s="118">
        <f t="shared" si="71"/>
        <v>19.799999999999997</v>
      </c>
      <c r="I202" s="118">
        <f t="shared" si="71"/>
        <v>20.100000000000001</v>
      </c>
      <c r="J202" s="118">
        <f t="shared" si="71"/>
        <v>19.321520194141101</v>
      </c>
      <c r="K202" s="98"/>
      <c r="L202" s="98"/>
      <c r="M202" s="98"/>
      <c r="N202" s="98"/>
    </row>
    <row r="203" spans="3:14" ht="18" customHeight="1">
      <c r="C203" s="109" t="s">
        <v>362</v>
      </c>
      <c r="D203" s="120">
        <f t="shared" ref="D203:J203" si="72">D79</f>
        <v>31542.5</v>
      </c>
      <c r="E203" s="120">
        <f t="shared" si="72"/>
        <v>30368.799999999999</v>
      </c>
      <c r="F203" s="120">
        <f t="shared" si="72"/>
        <v>38285</v>
      </c>
      <c r="G203" s="120">
        <f t="shared" si="72"/>
        <v>40320</v>
      </c>
      <c r="H203" s="120">
        <f t="shared" si="72"/>
        <v>44733</v>
      </c>
      <c r="I203" s="120">
        <f t="shared" si="72"/>
        <v>46332</v>
      </c>
      <c r="J203" s="120">
        <f t="shared" si="72"/>
        <v>231581.3</v>
      </c>
      <c r="K203" s="98"/>
      <c r="L203" s="98"/>
      <c r="M203" s="98"/>
      <c r="N203" s="98"/>
    </row>
    <row r="204" spans="3:14" ht="18" customHeight="1">
      <c r="C204" s="109" t="s">
        <v>363</v>
      </c>
      <c r="D204" s="120">
        <f t="shared" ref="D204:J204" si="73">D112</f>
        <v>30838.799999999999</v>
      </c>
      <c r="E204" s="120">
        <f t="shared" si="73"/>
        <v>29674</v>
      </c>
      <c r="F204" s="120">
        <f t="shared" si="73"/>
        <v>36710.199999999997</v>
      </c>
      <c r="G204" s="120">
        <f t="shared" si="73"/>
        <v>37830</v>
      </c>
      <c r="H204" s="120">
        <f t="shared" si="73"/>
        <v>42352.2</v>
      </c>
      <c r="I204" s="120">
        <f t="shared" si="73"/>
        <v>45526.5</v>
      </c>
      <c r="J204" s="120">
        <f t="shared" si="73"/>
        <v>222931.7</v>
      </c>
      <c r="K204" s="98"/>
      <c r="L204" s="98"/>
      <c r="M204" s="98"/>
      <c r="N204" s="98"/>
    </row>
    <row r="205" spans="3:14" ht="18" customHeight="1">
      <c r="C205" s="109" t="s">
        <v>339</v>
      </c>
      <c r="D205" s="120">
        <f t="shared" ref="D205:I205" si="74">(D200-D199)*D201</f>
        <v>-869.5</v>
      </c>
      <c r="E205" s="120">
        <f t="shared" si="74"/>
        <v>-374</v>
      </c>
      <c r="F205" s="120">
        <f t="shared" si="74"/>
        <v>-1767</v>
      </c>
      <c r="G205" s="120">
        <f t="shared" si="74"/>
        <v>-2880</v>
      </c>
      <c r="H205" s="120">
        <f t="shared" si="74"/>
        <v>-3022.5</v>
      </c>
      <c r="I205" s="120">
        <f t="shared" si="74"/>
        <v>-1485</v>
      </c>
      <c r="J205" s="120">
        <f>SUM(D205:I205)</f>
        <v>-10398</v>
      </c>
      <c r="K205" s="98"/>
      <c r="L205" s="98"/>
      <c r="M205" s="98"/>
      <c r="N205" s="98"/>
    </row>
    <row r="206" spans="3:14" ht="18" customHeight="1">
      <c r="C206" s="109" t="s">
        <v>364</v>
      </c>
      <c r="D206" s="120">
        <f t="shared" ref="D206:I206" si="75">D200*(D202-D201)</f>
        <v>165.79999999999646</v>
      </c>
      <c r="E206" s="120">
        <f t="shared" si="75"/>
        <v>-320.79999999999887</v>
      </c>
      <c r="F206" s="120">
        <f t="shared" si="75"/>
        <v>192.1999999999959</v>
      </c>
      <c r="G206" s="120">
        <f t="shared" si="75"/>
        <v>389.99999999999864</v>
      </c>
      <c r="H206" s="120">
        <f t="shared" si="75"/>
        <v>641.69999999999391</v>
      </c>
      <c r="I206" s="120">
        <f t="shared" si="75"/>
        <v>679.50000000000159</v>
      </c>
      <c r="J206" s="120">
        <f>SUM(D206:I206)</f>
        <v>1748.3999999999876</v>
      </c>
      <c r="K206" s="98"/>
      <c r="L206" s="98"/>
      <c r="M206" s="98"/>
      <c r="N206" s="98"/>
    </row>
    <row r="207" spans="3:14" ht="18" customHeight="1">
      <c r="C207" s="121" t="s">
        <v>342</v>
      </c>
      <c r="D207" s="123">
        <f t="shared" ref="D207:I207" si="76">SUM(D205:D206)</f>
        <v>-703.70000000000357</v>
      </c>
      <c r="E207" s="123">
        <f t="shared" si="76"/>
        <v>-694.79999999999882</v>
      </c>
      <c r="F207" s="123">
        <f t="shared" si="76"/>
        <v>-1574.800000000004</v>
      </c>
      <c r="G207" s="123">
        <f t="shared" si="76"/>
        <v>-2490.0000000000014</v>
      </c>
      <c r="H207" s="123">
        <f t="shared" si="76"/>
        <v>-2380.8000000000061</v>
      </c>
      <c r="I207" s="123">
        <f t="shared" si="76"/>
        <v>-805.49999999999841</v>
      </c>
      <c r="J207" s="123">
        <f>SUM(D207:I207)</f>
        <v>-8649.6000000000131</v>
      </c>
      <c r="K207" s="98"/>
      <c r="L207" s="98"/>
      <c r="M207" s="98"/>
      <c r="N207" s="98"/>
    </row>
    <row r="208" spans="3:14" ht="18" customHeight="1">
      <c r="C208" s="121" t="s">
        <v>365</v>
      </c>
      <c r="D208" s="123">
        <f t="shared" ref="D208:J208" si="77">D204-D203</f>
        <v>-703.70000000000073</v>
      </c>
      <c r="E208" s="123">
        <f t="shared" si="77"/>
        <v>-694.79999999999927</v>
      </c>
      <c r="F208" s="123">
        <f t="shared" si="77"/>
        <v>-1574.8000000000029</v>
      </c>
      <c r="G208" s="123">
        <f t="shared" si="77"/>
        <v>-2490</v>
      </c>
      <c r="H208" s="123">
        <f t="shared" si="77"/>
        <v>-2380.8000000000029</v>
      </c>
      <c r="I208" s="123">
        <f t="shared" si="77"/>
        <v>-805.5</v>
      </c>
      <c r="J208" s="123">
        <f t="shared" si="77"/>
        <v>-8649.5999999999767</v>
      </c>
      <c r="K208" s="98"/>
      <c r="L208" s="98"/>
      <c r="M208" s="98"/>
      <c r="N208" s="98"/>
    </row>
    <row r="209" spans="3:14" ht="18" customHeight="1">
      <c r="C209" s="143" t="s">
        <v>344</v>
      </c>
      <c r="D209" s="144">
        <f t="shared" ref="D209:J209" si="78">D207-D208</f>
        <v>-2.8421709430404007E-12</v>
      </c>
      <c r="E209" s="144">
        <f t="shared" si="78"/>
        <v>0</v>
      </c>
      <c r="F209" s="144">
        <f t="shared" si="78"/>
        <v>0</v>
      </c>
      <c r="G209" s="144">
        <f t="shared" si="78"/>
        <v>0</v>
      </c>
      <c r="H209" s="144">
        <f t="shared" si="78"/>
        <v>0</v>
      </c>
      <c r="I209" s="144">
        <f t="shared" si="78"/>
        <v>1.5916157281026244E-12</v>
      </c>
      <c r="J209" s="144">
        <f t="shared" si="78"/>
        <v>-3.637978807091713E-11</v>
      </c>
      <c r="K209" s="98"/>
      <c r="L209" s="98"/>
      <c r="M209" s="98"/>
      <c r="N209" s="98"/>
    </row>
    <row r="210" spans="3:14" ht="18" customHeight="1"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</row>
    <row r="211" spans="3:14" ht="24" customHeight="1">
      <c r="C211" s="162" t="s">
        <v>366</v>
      </c>
      <c r="D211" s="163"/>
      <c r="E211" s="163"/>
      <c r="F211" s="163"/>
      <c r="G211" s="163"/>
      <c r="H211" s="163"/>
      <c r="I211" s="163"/>
      <c r="J211" s="164"/>
      <c r="K211" s="98"/>
      <c r="L211" s="98"/>
      <c r="M211" s="98"/>
      <c r="N211" s="98"/>
    </row>
    <row r="212" spans="3:14" ht="18" customHeight="1">
      <c r="C212" s="259" t="s">
        <v>367</v>
      </c>
      <c r="D212" s="259"/>
      <c r="E212" s="259"/>
      <c r="F212" s="259"/>
      <c r="G212" s="259"/>
      <c r="H212" s="259"/>
      <c r="I212" s="259"/>
      <c r="J212" s="259"/>
      <c r="K212" s="98"/>
      <c r="L212" s="98"/>
      <c r="M212" s="98"/>
      <c r="N212" s="98"/>
    </row>
    <row r="213" spans="3:14" ht="32" customHeight="1">
      <c r="C213" s="166" t="s">
        <v>218</v>
      </c>
      <c r="D213" s="169">
        <v>46023</v>
      </c>
      <c r="E213" s="169">
        <v>46054</v>
      </c>
      <c r="F213" s="169">
        <v>46082</v>
      </c>
      <c r="G213" s="169">
        <v>46113</v>
      </c>
      <c r="H213" s="169">
        <v>46143</v>
      </c>
      <c r="I213" s="169">
        <v>46174</v>
      </c>
      <c r="J213" s="168" t="s">
        <v>326</v>
      </c>
      <c r="K213" s="98"/>
      <c r="L213" s="98"/>
      <c r="M213" s="98"/>
      <c r="N213" s="98"/>
    </row>
    <row r="214" spans="3:14" ht="18" customHeight="1">
      <c r="C214" s="106" t="s">
        <v>368</v>
      </c>
      <c r="D214" s="146">
        <f t="shared" ref="D214:J214" si="79">D82</f>
        <v>5</v>
      </c>
      <c r="E214" s="146">
        <f t="shared" si="79"/>
        <v>5</v>
      </c>
      <c r="F214" s="146">
        <f t="shared" si="79"/>
        <v>5</v>
      </c>
      <c r="G214" s="146">
        <f t="shared" si="79"/>
        <v>5</v>
      </c>
      <c r="H214" s="146">
        <f t="shared" si="79"/>
        <v>5</v>
      </c>
      <c r="I214" s="146">
        <f t="shared" si="79"/>
        <v>5</v>
      </c>
      <c r="J214" s="146">
        <f t="shared" si="79"/>
        <v>5</v>
      </c>
      <c r="K214" s="98"/>
      <c r="L214" s="98"/>
      <c r="M214" s="98"/>
      <c r="N214" s="98"/>
    </row>
    <row r="215" spans="3:14" ht="18" customHeight="1">
      <c r="C215" s="109" t="s">
        <v>369</v>
      </c>
      <c r="D215" s="129">
        <f t="shared" ref="D215:J215" si="80">D115</f>
        <v>5</v>
      </c>
      <c r="E215" s="129">
        <f t="shared" si="80"/>
        <v>5</v>
      </c>
      <c r="F215" s="129">
        <f t="shared" si="80"/>
        <v>5</v>
      </c>
      <c r="G215" s="129">
        <f t="shared" si="80"/>
        <v>5</v>
      </c>
      <c r="H215" s="129">
        <f t="shared" si="80"/>
        <v>5</v>
      </c>
      <c r="I215" s="129">
        <f t="shared" si="80"/>
        <v>5</v>
      </c>
      <c r="J215" s="129">
        <f t="shared" si="80"/>
        <v>5</v>
      </c>
      <c r="K215" s="98"/>
      <c r="L215" s="98"/>
      <c r="M215" s="98"/>
      <c r="N215" s="98"/>
    </row>
    <row r="216" spans="3:14" ht="18" customHeight="1">
      <c r="C216" s="109" t="s">
        <v>370</v>
      </c>
      <c r="D216" s="118">
        <f t="shared" ref="D216:J216" si="81">D83</f>
        <v>6000</v>
      </c>
      <c r="E216" s="118">
        <f t="shared" si="81"/>
        <v>6000</v>
      </c>
      <c r="F216" s="118">
        <f t="shared" si="81"/>
        <v>6000</v>
      </c>
      <c r="G216" s="118">
        <f t="shared" si="81"/>
        <v>6000</v>
      </c>
      <c r="H216" s="118">
        <f t="shared" si="81"/>
        <v>6000</v>
      </c>
      <c r="I216" s="118">
        <f t="shared" si="81"/>
        <v>6000</v>
      </c>
      <c r="J216" s="118">
        <f t="shared" si="81"/>
        <v>6000</v>
      </c>
      <c r="K216" s="98"/>
      <c r="L216" s="98"/>
      <c r="M216" s="98"/>
      <c r="N216" s="98"/>
    </row>
    <row r="217" spans="3:14" ht="18" customHeight="1">
      <c r="C217" s="109" t="s">
        <v>371</v>
      </c>
      <c r="D217" s="118">
        <f t="shared" ref="D217:J217" si="82">D116</f>
        <v>5980</v>
      </c>
      <c r="E217" s="118">
        <f t="shared" si="82"/>
        <v>6005</v>
      </c>
      <c r="F217" s="118">
        <f t="shared" si="82"/>
        <v>6015</v>
      </c>
      <c r="G217" s="118">
        <f t="shared" si="82"/>
        <v>6040</v>
      </c>
      <c r="H217" s="118">
        <f t="shared" si="82"/>
        <v>6070</v>
      </c>
      <c r="I217" s="118">
        <f t="shared" si="82"/>
        <v>6050</v>
      </c>
      <c r="J217" s="118">
        <f t="shared" si="82"/>
        <v>6026.666666666667</v>
      </c>
      <c r="K217" s="98"/>
      <c r="L217" s="98"/>
      <c r="M217" s="98"/>
      <c r="N217" s="98"/>
    </row>
    <row r="218" spans="3:14" ht="18" customHeight="1">
      <c r="C218" s="109" t="s">
        <v>372</v>
      </c>
      <c r="D218" s="120">
        <f t="shared" ref="D218:J218" si="83">D84</f>
        <v>30000</v>
      </c>
      <c r="E218" s="120">
        <f t="shared" si="83"/>
        <v>30000</v>
      </c>
      <c r="F218" s="120">
        <f t="shared" si="83"/>
        <v>30000</v>
      </c>
      <c r="G218" s="120">
        <f t="shared" si="83"/>
        <v>30000</v>
      </c>
      <c r="H218" s="120">
        <f t="shared" si="83"/>
        <v>30000</v>
      </c>
      <c r="I218" s="120">
        <f t="shared" si="83"/>
        <v>30000</v>
      </c>
      <c r="J218" s="120">
        <f t="shared" si="83"/>
        <v>180000</v>
      </c>
      <c r="K218" s="98"/>
      <c r="L218" s="98"/>
      <c r="M218" s="98"/>
      <c r="N218" s="98"/>
    </row>
    <row r="219" spans="3:14" ht="18" customHeight="1">
      <c r="C219" s="109" t="s">
        <v>373</v>
      </c>
      <c r="D219" s="120">
        <f t="shared" ref="D219:J219" si="84">D117</f>
        <v>29900</v>
      </c>
      <c r="E219" s="120">
        <f t="shared" si="84"/>
        <v>30025</v>
      </c>
      <c r="F219" s="120">
        <f t="shared" si="84"/>
        <v>30075</v>
      </c>
      <c r="G219" s="120">
        <f t="shared" si="84"/>
        <v>30200</v>
      </c>
      <c r="H219" s="120">
        <f t="shared" si="84"/>
        <v>30350</v>
      </c>
      <c r="I219" s="120">
        <f t="shared" si="84"/>
        <v>30250</v>
      </c>
      <c r="J219" s="120">
        <f t="shared" si="84"/>
        <v>180800</v>
      </c>
      <c r="K219" s="98"/>
      <c r="L219" s="98"/>
      <c r="M219" s="98"/>
      <c r="N219" s="98"/>
    </row>
    <row r="220" spans="3:14" ht="18" customHeight="1">
      <c r="C220" s="109" t="s">
        <v>374</v>
      </c>
      <c r="D220" s="120">
        <f t="shared" ref="D220:I220" si="85">(D215-D214)*D216</f>
        <v>0</v>
      </c>
      <c r="E220" s="120">
        <f t="shared" si="85"/>
        <v>0</v>
      </c>
      <c r="F220" s="120">
        <f t="shared" si="85"/>
        <v>0</v>
      </c>
      <c r="G220" s="120">
        <f t="shared" si="85"/>
        <v>0</v>
      </c>
      <c r="H220" s="120">
        <f t="shared" si="85"/>
        <v>0</v>
      </c>
      <c r="I220" s="120">
        <f t="shared" si="85"/>
        <v>0</v>
      </c>
      <c r="J220" s="120">
        <f>SUM(D220:I220)</f>
        <v>0</v>
      </c>
      <c r="K220" s="98"/>
      <c r="L220" s="98"/>
      <c r="M220" s="98"/>
      <c r="N220" s="98"/>
    </row>
    <row r="221" spans="3:14" ht="18" customHeight="1">
      <c r="C221" s="109" t="s">
        <v>341</v>
      </c>
      <c r="D221" s="120">
        <f t="shared" ref="D221:I221" si="86">D215*(D217-D216)</f>
        <v>-100</v>
      </c>
      <c r="E221" s="120">
        <f t="shared" si="86"/>
        <v>25</v>
      </c>
      <c r="F221" s="120">
        <f t="shared" si="86"/>
        <v>75</v>
      </c>
      <c r="G221" s="120">
        <f t="shared" si="86"/>
        <v>200</v>
      </c>
      <c r="H221" s="120">
        <f t="shared" si="86"/>
        <v>350</v>
      </c>
      <c r="I221" s="120">
        <f t="shared" si="86"/>
        <v>250</v>
      </c>
      <c r="J221" s="120">
        <f>SUM(D221:I221)</f>
        <v>800</v>
      </c>
      <c r="K221" s="98"/>
      <c r="L221" s="98"/>
      <c r="M221" s="98"/>
      <c r="N221" s="98"/>
    </row>
    <row r="222" spans="3:14" ht="18" customHeight="1">
      <c r="C222" s="121" t="s">
        <v>342</v>
      </c>
      <c r="D222" s="123">
        <f t="shared" ref="D222:I222" si="87">SUM(D220:D221)</f>
        <v>-100</v>
      </c>
      <c r="E222" s="123">
        <f t="shared" si="87"/>
        <v>25</v>
      </c>
      <c r="F222" s="123">
        <f t="shared" si="87"/>
        <v>75</v>
      </c>
      <c r="G222" s="123">
        <f t="shared" si="87"/>
        <v>200</v>
      </c>
      <c r="H222" s="123">
        <f t="shared" si="87"/>
        <v>350</v>
      </c>
      <c r="I222" s="123">
        <f t="shared" si="87"/>
        <v>250</v>
      </c>
      <c r="J222" s="123">
        <f>SUM(D222:I222)</f>
        <v>800</v>
      </c>
      <c r="K222" s="98"/>
      <c r="L222" s="98"/>
      <c r="M222" s="98"/>
      <c r="N222" s="98"/>
    </row>
    <row r="223" spans="3:14" ht="18" customHeight="1">
      <c r="C223" s="121" t="s">
        <v>375</v>
      </c>
      <c r="D223" s="123">
        <f t="shared" ref="D223:J223" si="88">D219-D218</f>
        <v>-100</v>
      </c>
      <c r="E223" s="123">
        <f t="shared" si="88"/>
        <v>25</v>
      </c>
      <c r="F223" s="123">
        <f t="shared" si="88"/>
        <v>75</v>
      </c>
      <c r="G223" s="123">
        <f t="shared" si="88"/>
        <v>200</v>
      </c>
      <c r="H223" s="123">
        <f t="shared" si="88"/>
        <v>350</v>
      </c>
      <c r="I223" s="123">
        <f t="shared" si="88"/>
        <v>250</v>
      </c>
      <c r="J223" s="123">
        <f t="shared" si="88"/>
        <v>800</v>
      </c>
      <c r="K223" s="98"/>
      <c r="L223" s="98"/>
      <c r="M223" s="98"/>
      <c r="N223" s="98"/>
    </row>
    <row r="224" spans="3:14" ht="18" customHeight="1">
      <c r="C224" s="143" t="s">
        <v>344</v>
      </c>
      <c r="D224" s="144">
        <f t="shared" ref="D224:J224" si="89">D222-D223</f>
        <v>0</v>
      </c>
      <c r="E224" s="144">
        <f t="shared" si="89"/>
        <v>0</v>
      </c>
      <c r="F224" s="144">
        <f t="shared" si="89"/>
        <v>0</v>
      </c>
      <c r="G224" s="144">
        <f t="shared" si="89"/>
        <v>0</v>
      </c>
      <c r="H224" s="144">
        <f t="shared" si="89"/>
        <v>0</v>
      </c>
      <c r="I224" s="144">
        <f t="shared" si="89"/>
        <v>0</v>
      </c>
      <c r="J224" s="144">
        <f t="shared" si="89"/>
        <v>0</v>
      </c>
      <c r="K224" s="98"/>
      <c r="L224" s="98"/>
      <c r="M224" s="98"/>
      <c r="N224" s="98"/>
    </row>
    <row r="225" spans="3:14" ht="18" customHeight="1"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</row>
    <row r="226" spans="3:14" ht="24" customHeight="1">
      <c r="C226" s="162" t="s">
        <v>376</v>
      </c>
      <c r="D226" s="163"/>
      <c r="E226" s="163"/>
      <c r="F226" s="163"/>
      <c r="G226" s="163"/>
      <c r="H226" s="163"/>
      <c r="I226" s="163"/>
      <c r="J226" s="164"/>
      <c r="K226" s="98"/>
      <c r="L226" s="98"/>
      <c r="M226" s="98"/>
      <c r="N226" s="98"/>
    </row>
    <row r="227" spans="3:14" ht="18" customHeight="1">
      <c r="C227" s="259" t="s">
        <v>377</v>
      </c>
      <c r="D227" s="259"/>
      <c r="E227" s="259"/>
      <c r="F227" s="259"/>
      <c r="G227" s="259"/>
      <c r="H227" s="259"/>
      <c r="I227" s="259"/>
      <c r="J227" s="259"/>
      <c r="K227" s="98"/>
      <c r="L227" s="98"/>
      <c r="M227" s="98"/>
      <c r="N227" s="98"/>
    </row>
    <row r="228" spans="3:14" ht="32" customHeight="1">
      <c r="C228" s="166" t="s">
        <v>218</v>
      </c>
      <c r="D228" s="169">
        <v>46023</v>
      </c>
      <c r="E228" s="169">
        <v>46054</v>
      </c>
      <c r="F228" s="169">
        <v>46082</v>
      </c>
      <c r="G228" s="169">
        <v>46113</v>
      </c>
      <c r="H228" s="169">
        <v>46143</v>
      </c>
      <c r="I228" s="169">
        <v>46174</v>
      </c>
      <c r="J228" s="168" t="s">
        <v>326</v>
      </c>
      <c r="K228" s="98"/>
      <c r="L228" s="98"/>
      <c r="M228" s="98"/>
      <c r="N228" s="98"/>
    </row>
    <row r="229" spans="3:14" ht="18" customHeight="1">
      <c r="C229" s="106" t="s">
        <v>378</v>
      </c>
      <c r="D229" s="140">
        <f t="shared" ref="D229:I231" si="90">D118-D85</f>
        <v>0</v>
      </c>
      <c r="E229" s="140">
        <f t="shared" si="90"/>
        <v>0</v>
      </c>
      <c r="F229" s="140">
        <f t="shared" si="90"/>
        <v>0</v>
      </c>
      <c r="G229" s="140">
        <f t="shared" si="90"/>
        <v>0</v>
      </c>
      <c r="H229" s="140">
        <f t="shared" si="90"/>
        <v>0</v>
      </c>
      <c r="I229" s="140">
        <f t="shared" si="90"/>
        <v>0</v>
      </c>
      <c r="J229" s="140">
        <f t="shared" ref="J229:J234" si="91">SUM(D229:I229)</f>
        <v>0</v>
      </c>
      <c r="K229" s="98"/>
      <c r="L229" s="98"/>
      <c r="M229" s="98"/>
      <c r="N229" s="98"/>
    </row>
    <row r="230" spans="3:14" ht="18" customHeight="1">
      <c r="C230" s="109" t="s">
        <v>379</v>
      </c>
      <c r="D230" s="120">
        <f t="shared" si="90"/>
        <v>50</v>
      </c>
      <c r="E230" s="120">
        <f t="shared" si="90"/>
        <v>-180</v>
      </c>
      <c r="F230" s="120">
        <f t="shared" si="90"/>
        <v>120</v>
      </c>
      <c r="G230" s="120">
        <f t="shared" si="90"/>
        <v>110</v>
      </c>
      <c r="H230" s="120">
        <f t="shared" si="90"/>
        <v>1450</v>
      </c>
      <c r="I230" s="120">
        <f t="shared" si="90"/>
        <v>210</v>
      </c>
      <c r="J230" s="120">
        <f t="shared" si="91"/>
        <v>1760</v>
      </c>
      <c r="K230" s="98"/>
      <c r="L230" s="98"/>
      <c r="M230" s="98"/>
      <c r="N230" s="98"/>
    </row>
    <row r="231" spans="3:14" ht="18" customHeight="1">
      <c r="C231" s="109" t="s">
        <v>380</v>
      </c>
      <c r="D231" s="120">
        <f t="shared" si="90"/>
        <v>200</v>
      </c>
      <c r="E231" s="120">
        <f t="shared" si="90"/>
        <v>-200</v>
      </c>
      <c r="F231" s="120">
        <f t="shared" si="90"/>
        <v>300</v>
      </c>
      <c r="G231" s="120">
        <f t="shared" si="90"/>
        <v>100</v>
      </c>
      <c r="H231" s="120">
        <f t="shared" si="90"/>
        <v>200</v>
      </c>
      <c r="I231" s="120">
        <f t="shared" si="90"/>
        <v>-18000</v>
      </c>
      <c r="J231" s="120">
        <f t="shared" si="91"/>
        <v>-17400</v>
      </c>
      <c r="K231" s="98"/>
      <c r="L231" s="98"/>
      <c r="M231" s="98"/>
      <c r="N231" s="98"/>
    </row>
    <row r="232" spans="3:14" ht="18" customHeight="1">
      <c r="C232" s="109" t="s">
        <v>381</v>
      </c>
      <c r="D232" s="120">
        <f t="shared" ref="D232:I232" si="92">D106-D73</f>
        <v>-5694</v>
      </c>
      <c r="E232" s="120">
        <f t="shared" si="92"/>
        <v>-2450.640000000014</v>
      </c>
      <c r="F232" s="120">
        <f t="shared" si="92"/>
        <v>-15522.199999999953</v>
      </c>
      <c r="G232" s="120">
        <f t="shared" si="92"/>
        <v>-27180.5</v>
      </c>
      <c r="H232" s="120">
        <f t="shared" si="92"/>
        <v>-32158.699999999953</v>
      </c>
      <c r="I232" s="120">
        <f t="shared" si="92"/>
        <v>-15185.700000000012</v>
      </c>
      <c r="J232" s="120">
        <f t="shared" si="91"/>
        <v>-98191.739999999932</v>
      </c>
      <c r="K232" s="98"/>
      <c r="L232" s="98"/>
      <c r="M232" s="98"/>
      <c r="N232" s="98"/>
    </row>
    <row r="233" spans="3:14" ht="18" customHeight="1">
      <c r="C233" s="109" t="s">
        <v>382</v>
      </c>
      <c r="D233" s="120">
        <f t="shared" ref="D233:I233" si="93">D114-D81</f>
        <v>-227.76000000000022</v>
      </c>
      <c r="E233" s="120">
        <f t="shared" si="93"/>
        <v>-98.02560000000085</v>
      </c>
      <c r="F233" s="120">
        <f t="shared" si="93"/>
        <v>-620.88799999999719</v>
      </c>
      <c r="G233" s="120">
        <f t="shared" si="93"/>
        <v>-1087.2199999999993</v>
      </c>
      <c r="H233" s="120">
        <f t="shared" si="93"/>
        <v>-1286.3479999999981</v>
      </c>
      <c r="I233" s="120">
        <f t="shared" si="93"/>
        <v>-607.4280000000017</v>
      </c>
      <c r="J233" s="120">
        <f t="shared" si="91"/>
        <v>-3927.6695999999974</v>
      </c>
      <c r="K233" s="98"/>
      <c r="L233" s="98"/>
      <c r="M233" s="98"/>
      <c r="N233" s="98"/>
    </row>
    <row r="234" spans="3:14" ht="18" customHeight="1">
      <c r="C234" s="109" t="s">
        <v>383</v>
      </c>
      <c r="D234" s="120">
        <f t="shared" ref="D234:I234" si="94">D232*4%</f>
        <v>-227.76</v>
      </c>
      <c r="E234" s="120">
        <f t="shared" si="94"/>
        <v>-98.025600000000566</v>
      </c>
      <c r="F234" s="120">
        <f t="shared" si="94"/>
        <v>-620.8879999999981</v>
      </c>
      <c r="G234" s="120">
        <f t="shared" si="94"/>
        <v>-1087.22</v>
      </c>
      <c r="H234" s="120">
        <f t="shared" si="94"/>
        <v>-1286.3479999999981</v>
      </c>
      <c r="I234" s="120">
        <f t="shared" si="94"/>
        <v>-607.42800000000045</v>
      </c>
      <c r="J234" s="120">
        <f t="shared" si="91"/>
        <v>-3927.669599999997</v>
      </c>
      <c r="K234" s="98"/>
      <c r="L234" s="98"/>
      <c r="M234" s="98"/>
      <c r="N234" s="98"/>
    </row>
    <row r="235" spans="3:14" ht="18" customHeight="1">
      <c r="C235" s="143" t="s">
        <v>384</v>
      </c>
      <c r="D235" s="144">
        <f t="shared" ref="D235:J235" si="95">D233-D234</f>
        <v>-2.2737367544323206E-13</v>
      </c>
      <c r="E235" s="144">
        <f t="shared" si="95"/>
        <v>-2.8421709430404007E-13</v>
      </c>
      <c r="F235" s="144">
        <f t="shared" si="95"/>
        <v>9.0949470177292824E-13</v>
      </c>
      <c r="G235" s="144">
        <f t="shared" si="95"/>
        <v>0</v>
      </c>
      <c r="H235" s="144">
        <f t="shared" si="95"/>
        <v>0</v>
      </c>
      <c r="I235" s="144">
        <f t="shared" si="95"/>
        <v>-1.2505552149377763E-12</v>
      </c>
      <c r="J235" s="144">
        <f t="shared" si="95"/>
        <v>0</v>
      </c>
      <c r="K235" s="98"/>
      <c r="L235" s="98"/>
      <c r="M235" s="98"/>
      <c r="N235" s="98"/>
    </row>
    <row r="236" spans="3:14" ht="18" customHeight="1"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</row>
    <row r="237" spans="3:14" ht="24" customHeight="1">
      <c r="C237" s="162" t="s">
        <v>385</v>
      </c>
      <c r="D237" s="163"/>
      <c r="E237" s="163"/>
      <c r="F237" s="163"/>
      <c r="G237" s="163"/>
      <c r="H237" s="163"/>
      <c r="I237" s="163"/>
      <c r="J237" s="164"/>
      <c r="K237" s="98"/>
      <c r="L237" s="98"/>
      <c r="M237" s="98"/>
      <c r="N237" s="98"/>
    </row>
    <row r="238" spans="3:14" ht="18" customHeight="1">
      <c r="C238" s="259" t="s">
        <v>386</v>
      </c>
      <c r="D238" s="259"/>
      <c r="E238" s="259"/>
      <c r="F238" s="259"/>
      <c r="G238" s="259"/>
      <c r="H238" s="259"/>
      <c r="I238" s="259"/>
      <c r="J238" s="259"/>
      <c r="K238" s="98"/>
      <c r="L238" s="98"/>
      <c r="M238" s="98"/>
      <c r="N238" s="98"/>
    </row>
    <row r="239" spans="3:14" ht="32" customHeight="1">
      <c r="C239" s="166" t="s">
        <v>387</v>
      </c>
      <c r="D239" s="167" t="s">
        <v>388</v>
      </c>
      <c r="E239" s="168" t="s">
        <v>389</v>
      </c>
      <c r="F239" s="98"/>
      <c r="G239" s="98"/>
      <c r="H239" s="98"/>
      <c r="I239" s="98"/>
      <c r="J239" s="98"/>
      <c r="K239" s="98"/>
      <c r="L239" s="98"/>
      <c r="M239" s="98"/>
      <c r="N239" s="98"/>
    </row>
    <row r="240" spans="3:14" ht="18" customHeight="1">
      <c r="C240" s="147" t="s">
        <v>390</v>
      </c>
      <c r="D240" s="148">
        <f>J89</f>
        <v>534270.01039999991</v>
      </c>
      <c r="E240" s="147" t="s">
        <v>391</v>
      </c>
      <c r="F240" s="98"/>
      <c r="G240" s="98"/>
      <c r="H240" s="98"/>
      <c r="I240" s="98"/>
      <c r="J240" s="98"/>
      <c r="K240" s="98"/>
      <c r="L240" s="98"/>
      <c r="M240" s="98"/>
      <c r="N240" s="98"/>
    </row>
    <row r="241" spans="3:14" ht="18" customHeight="1">
      <c r="C241" s="109" t="s">
        <v>392</v>
      </c>
      <c r="D241" s="149">
        <f>J169</f>
        <v>-84994.689999999988</v>
      </c>
      <c r="E241" s="109" t="str">
        <f t="shared" ref="E241:E254" si="96">IF(D241&gt;0,"Favorable",IF(D241&lt;0,"Unfavorable","Neutral"))</f>
        <v>Unfavorable</v>
      </c>
      <c r="F241" s="98"/>
      <c r="G241" s="98"/>
      <c r="H241" s="98"/>
      <c r="I241" s="98"/>
      <c r="J241" s="98"/>
      <c r="K241" s="98"/>
      <c r="L241" s="98"/>
      <c r="M241" s="98"/>
      <c r="N241" s="98"/>
    </row>
    <row r="242" spans="3:14" ht="18" customHeight="1">
      <c r="C242" s="109" t="s">
        <v>393</v>
      </c>
      <c r="D242" s="149">
        <f>J170</f>
        <v>-17667.04999999989</v>
      </c>
      <c r="E242" s="109" t="str">
        <f t="shared" si="96"/>
        <v>Unfavorable</v>
      </c>
      <c r="F242" s="98"/>
      <c r="G242" s="98"/>
      <c r="H242" s="98"/>
      <c r="I242" s="98"/>
      <c r="J242" s="98"/>
      <c r="K242" s="98"/>
      <c r="L242" s="98"/>
      <c r="M242" s="98"/>
      <c r="N242" s="98"/>
    </row>
    <row r="243" spans="3:14" ht="18" customHeight="1">
      <c r="C243" s="109" t="s">
        <v>394</v>
      </c>
      <c r="D243" s="149">
        <f>J171</f>
        <v>4470</v>
      </c>
      <c r="E243" s="109" t="str">
        <f t="shared" si="96"/>
        <v>Favorable</v>
      </c>
      <c r="F243" s="98"/>
      <c r="G243" s="98"/>
      <c r="H243" s="98"/>
      <c r="I243" s="98"/>
      <c r="J243" s="98"/>
      <c r="K243" s="98"/>
      <c r="L243" s="98"/>
      <c r="M243" s="98"/>
      <c r="N243" s="98"/>
    </row>
    <row r="244" spans="3:14" ht="18" customHeight="1">
      <c r="C244" s="109" t="s">
        <v>395</v>
      </c>
      <c r="D244" s="149">
        <f>-J189</f>
        <v>6289.58</v>
      </c>
      <c r="E244" s="109" t="str">
        <f t="shared" si="96"/>
        <v>Favorable</v>
      </c>
      <c r="F244" s="98"/>
      <c r="G244" s="98"/>
      <c r="H244" s="98"/>
      <c r="I244" s="98"/>
      <c r="J244" s="98"/>
      <c r="K244" s="98"/>
      <c r="L244" s="98"/>
      <c r="M244" s="98"/>
      <c r="N244" s="98"/>
    </row>
    <row r="245" spans="3:14" ht="18" customHeight="1">
      <c r="C245" s="109" t="s">
        <v>396</v>
      </c>
      <c r="D245" s="149">
        <f>-J190</f>
        <v>-11327.579999999996</v>
      </c>
      <c r="E245" s="109" t="str">
        <f t="shared" si="96"/>
        <v>Unfavorable</v>
      </c>
      <c r="F245" s="98"/>
      <c r="G245" s="98"/>
      <c r="H245" s="98"/>
      <c r="I245" s="98"/>
      <c r="J245" s="98"/>
      <c r="K245" s="98"/>
      <c r="L245" s="98"/>
      <c r="M245" s="98"/>
      <c r="N245" s="98"/>
    </row>
    <row r="246" spans="3:14" ht="18" customHeight="1">
      <c r="C246" s="109" t="s">
        <v>397</v>
      </c>
      <c r="D246" s="149">
        <f>-J191</f>
        <v>-4714.1199999999935</v>
      </c>
      <c r="E246" s="109" t="str">
        <f t="shared" si="96"/>
        <v>Unfavorable</v>
      </c>
      <c r="F246" s="98"/>
      <c r="G246" s="98"/>
      <c r="H246" s="98"/>
      <c r="I246" s="98"/>
      <c r="J246" s="98"/>
      <c r="K246" s="98"/>
      <c r="L246" s="98"/>
      <c r="M246" s="98"/>
      <c r="N246" s="98"/>
    </row>
    <row r="247" spans="3:14" ht="18" customHeight="1">
      <c r="C247" s="109" t="s">
        <v>398</v>
      </c>
      <c r="D247" s="149">
        <f>-J205</f>
        <v>10398</v>
      </c>
      <c r="E247" s="109" t="str">
        <f t="shared" si="96"/>
        <v>Favorable</v>
      </c>
      <c r="F247" s="98"/>
      <c r="G247" s="98"/>
      <c r="H247" s="98"/>
      <c r="I247" s="98"/>
      <c r="J247" s="98"/>
      <c r="K247" s="98"/>
      <c r="L247" s="98"/>
      <c r="M247" s="98"/>
      <c r="N247" s="98"/>
    </row>
    <row r="248" spans="3:14" ht="18" customHeight="1">
      <c r="C248" s="109" t="s">
        <v>399</v>
      </c>
      <c r="D248" s="149">
        <f>-J206</f>
        <v>-1748.3999999999876</v>
      </c>
      <c r="E248" s="109" t="str">
        <f t="shared" si="96"/>
        <v>Unfavorable</v>
      </c>
      <c r="F248" s="98"/>
      <c r="G248" s="98"/>
      <c r="H248" s="98"/>
      <c r="I248" s="98"/>
      <c r="J248" s="98"/>
      <c r="K248" s="98"/>
      <c r="L248" s="98"/>
      <c r="M248" s="98"/>
      <c r="N248" s="98"/>
    </row>
    <row r="249" spans="3:14" ht="18" customHeight="1">
      <c r="C249" s="109" t="s">
        <v>400</v>
      </c>
      <c r="D249" s="149">
        <f>-J233</f>
        <v>3927.6695999999974</v>
      </c>
      <c r="E249" s="109" t="str">
        <f t="shared" si="96"/>
        <v>Favorable</v>
      </c>
      <c r="F249" s="98"/>
      <c r="G249" s="98"/>
      <c r="H249" s="98"/>
      <c r="I249" s="98"/>
      <c r="J249" s="98"/>
      <c r="K249" s="98"/>
      <c r="L249" s="98"/>
      <c r="M249" s="98"/>
      <c r="N249" s="98"/>
    </row>
    <row r="250" spans="3:14" ht="18" customHeight="1">
      <c r="C250" s="109" t="s">
        <v>401</v>
      </c>
      <c r="D250" s="149">
        <f>-J220</f>
        <v>0</v>
      </c>
      <c r="E250" s="109" t="str">
        <f t="shared" si="96"/>
        <v>Neutral</v>
      </c>
      <c r="F250" s="98"/>
      <c r="G250" s="98"/>
      <c r="H250" s="98"/>
      <c r="I250" s="98"/>
      <c r="J250" s="98"/>
      <c r="K250" s="98"/>
      <c r="L250" s="98"/>
      <c r="M250" s="98"/>
      <c r="N250" s="98"/>
    </row>
    <row r="251" spans="3:14" ht="18" customHeight="1">
      <c r="C251" s="109" t="s">
        <v>402</v>
      </c>
      <c r="D251" s="149">
        <f>-J221</f>
        <v>-800</v>
      </c>
      <c r="E251" s="109" t="str">
        <f t="shared" si="96"/>
        <v>Unfavorable</v>
      </c>
      <c r="F251" s="98"/>
      <c r="G251" s="98"/>
      <c r="H251" s="98"/>
      <c r="I251" s="98"/>
      <c r="J251" s="98"/>
      <c r="K251" s="98"/>
      <c r="L251" s="98"/>
      <c r="M251" s="98"/>
      <c r="N251" s="98"/>
    </row>
    <row r="252" spans="3:14" ht="18" customHeight="1">
      <c r="C252" s="109" t="s">
        <v>403</v>
      </c>
      <c r="D252" s="149">
        <f>-J229</f>
        <v>0</v>
      </c>
      <c r="E252" s="109" t="str">
        <f t="shared" si="96"/>
        <v>Neutral</v>
      </c>
      <c r="F252" s="98"/>
      <c r="G252" s="98"/>
      <c r="H252" s="98"/>
      <c r="I252" s="98"/>
      <c r="J252" s="98"/>
      <c r="K252" s="98"/>
      <c r="L252" s="98"/>
      <c r="M252" s="98"/>
      <c r="N252" s="98"/>
    </row>
    <row r="253" spans="3:14" ht="18" customHeight="1">
      <c r="C253" s="109" t="s">
        <v>404</v>
      </c>
      <c r="D253" s="149">
        <f>-J230</f>
        <v>-1760</v>
      </c>
      <c r="E253" s="109" t="str">
        <f t="shared" si="96"/>
        <v>Unfavorable</v>
      </c>
      <c r="F253" s="98"/>
      <c r="G253" s="98"/>
      <c r="H253" s="98"/>
      <c r="I253" s="98"/>
      <c r="J253" s="98"/>
      <c r="K253" s="98"/>
      <c r="L253" s="98"/>
      <c r="M253" s="98"/>
      <c r="N253" s="98"/>
    </row>
    <row r="254" spans="3:14" ht="18" customHeight="1">
      <c r="C254" s="109" t="s">
        <v>405</v>
      </c>
      <c r="D254" s="149">
        <f>-J231</f>
        <v>17400</v>
      </c>
      <c r="E254" s="109" t="str">
        <f t="shared" si="96"/>
        <v>Favorable</v>
      </c>
      <c r="F254" s="98"/>
      <c r="G254" s="98"/>
      <c r="H254" s="98"/>
      <c r="I254" s="98"/>
      <c r="J254" s="98"/>
      <c r="K254" s="98"/>
      <c r="L254" s="98"/>
      <c r="M254" s="98"/>
      <c r="N254" s="98"/>
    </row>
    <row r="255" spans="3:14" ht="18" customHeight="1">
      <c r="C255" s="121" t="s">
        <v>406</v>
      </c>
      <c r="D255" s="150">
        <f>SUM(D240:D254)</f>
        <v>453743.4200000001</v>
      </c>
      <c r="E255" s="121" t="s">
        <v>407</v>
      </c>
      <c r="F255" s="98"/>
      <c r="G255" s="98"/>
      <c r="H255" s="98"/>
      <c r="I255" s="98"/>
      <c r="J255" s="98"/>
      <c r="K255" s="98"/>
      <c r="L255" s="98"/>
      <c r="M255" s="98"/>
      <c r="N255" s="98"/>
    </row>
    <row r="256" spans="3:14" ht="18" customHeight="1">
      <c r="C256" s="121" t="s">
        <v>408</v>
      </c>
      <c r="D256" s="150">
        <f>J122</f>
        <v>453743.42000000004</v>
      </c>
      <c r="E256" s="121" t="s">
        <v>409</v>
      </c>
      <c r="F256" s="98"/>
      <c r="G256" s="98"/>
      <c r="H256" s="98"/>
      <c r="I256" s="98"/>
      <c r="J256" s="98"/>
      <c r="K256" s="98"/>
      <c r="L256" s="98"/>
      <c r="M256" s="98"/>
      <c r="N256" s="98"/>
    </row>
    <row r="257" spans="3:14" ht="18" customHeight="1">
      <c r="C257" s="143" t="s">
        <v>410</v>
      </c>
      <c r="D257" s="144">
        <f>D255-D256</f>
        <v>0</v>
      </c>
      <c r="E257" s="143" t="str">
        <f>IF(ABS(D257)&lt;=0.01,"Reconciled",IF(D257&gt;0,"Favorable","Unfavorable"))</f>
        <v>Reconciled</v>
      </c>
      <c r="F257" s="98"/>
      <c r="G257" s="98"/>
      <c r="H257" s="98"/>
      <c r="I257" s="98"/>
      <c r="J257" s="98"/>
      <c r="K257" s="98"/>
      <c r="L257" s="98"/>
      <c r="M257" s="98"/>
      <c r="N257" s="98"/>
    </row>
    <row r="258" spans="3:14" ht="18" customHeight="1"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</row>
    <row r="259" spans="3:14" ht="24" customHeight="1">
      <c r="C259" s="162" t="s">
        <v>411</v>
      </c>
      <c r="D259" s="163"/>
      <c r="E259" s="163"/>
      <c r="F259" s="163"/>
      <c r="G259" s="163"/>
      <c r="H259" s="163"/>
      <c r="I259" s="163"/>
      <c r="J259" s="163"/>
      <c r="K259" s="163"/>
      <c r="L259" s="163"/>
      <c r="M259" s="163"/>
      <c r="N259" s="164"/>
    </row>
    <row r="260" spans="3:14" ht="18" customHeight="1">
      <c r="C260" s="16" t="s">
        <v>412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</row>
    <row r="261" spans="3:14" ht="42" customHeight="1">
      <c r="C261" s="165" t="s">
        <v>413</v>
      </c>
      <c r="D261" s="165" t="s">
        <v>414</v>
      </c>
      <c r="E261" s="260" t="s">
        <v>415</v>
      </c>
      <c r="F261" s="260"/>
      <c r="G261" s="165" t="s">
        <v>416</v>
      </c>
      <c r="H261" s="165" t="s">
        <v>417</v>
      </c>
      <c r="I261" s="260" t="s">
        <v>418</v>
      </c>
      <c r="J261" s="260"/>
      <c r="K261" s="165" t="s">
        <v>419</v>
      </c>
      <c r="L261" s="165" t="s">
        <v>420</v>
      </c>
      <c r="M261" s="165" t="s">
        <v>421</v>
      </c>
      <c r="N261" s="165" t="s">
        <v>422</v>
      </c>
    </row>
    <row r="262" spans="3:14" ht="88.05" customHeight="1">
      <c r="C262" s="151" t="s">
        <v>423</v>
      </c>
      <c r="D262" s="151" t="s">
        <v>424</v>
      </c>
      <c r="E262" s="258" t="s">
        <v>425</v>
      </c>
      <c r="F262" s="258"/>
      <c r="G262" s="152">
        <f>SUM(F169:G169)</f>
        <v>-37445.039999999994</v>
      </c>
      <c r="H262" s="151" t="s">
        <v>426</v>
      </c>
      <c r="I262" s="258" t="s">
        <v>427</v>
      </c>
      <c r="J262" s="258"/>
      <c r="K262" s="151" t="s">
        <v>95</v>
      </c>
      <c r="L262" s="151" t="s">
        <v>428</v>
      </c>
      <c r="M262" s="151" t="s">
        <v>429</v>
      </c>
      <c r="N262" s="151" t="s">
        <v>430</v>
      </c>
    </row>
    <row r="263" spans="3:14" ht="88.05" customHeight="1">
      <c r="C263" s="151" t="s">
        <v>431</v>
      </c>
      <c r="D263" s="151" t="s">
        <v>432</v>
      </c>
      <c r="E263" s="258" t="s">
        <v>433</v>
      </c>
      <c r="F263" s="258"/>
      <c r="G263" s="152">
        <f>J170</f>
        <v>-17667.04999999989</v>
      </c>
      <c r="H263" s="151" t="s">
        <v>194</v>
      </c>
      <c r="I263" s="258" t="s">
        <v>434</v>
      </c>
      <c r="J263" s="258"/>
      <c r="K263" s="151" t="s">
        <v>95</v>
      </c>
      <c r="L263" s="151" t="s">
        <v>435</v>
      </c>
      <c r="M263" s="151" t="s">
        <v>436</v>
      </c>
      <c r="N263" s="151" t="s">
        <v>437</v>
      </c>
    </row>
    <row r="264" spans="3:14" ht="88.05" customHeight="1">
      <c r="C264" s="151" t="s">
        <v>438</v>
      </c>
      <c r="D264" s="151" t="s">
        <v>439</v>
      </c>
      <c r="E264" s="258" t="s">
        <v>440</v>
      </c>
      <c r="F264" s="258"/>
      <c r="G264" s="152">
        <f>SUM(G191:I191)</f>
        <v>4700.9999999999909</v>
      </c>
      <c r="H264" s="151" t="s">
        <v>441</v>
      </c>
      <c r="I264" s="258" t="s">
        <v>442</v>
      </c>
      <c r="J264" s="258"/>
      <c r="K264" s="151" t="s">
        <v>95</v>
      </c>
      <c r="L264" s="151" t="s">
        <v>443</v>
      </c>
      <c r="M264" s="151" t="s">
        <v>444</v>
      </c>
      <c r="N264" s="151" t="s">
        <v>445</v>
      </c>
    </row>
    <row r="265" spans="3:14" ht="88.05" customHeight="1">
      <c r="C265" s="151" t="s">
        <v>446</v>
      </c>
      <c r="D265" s="151" t="s">
        <v>447</v>
      </c>
      <c r="E265" s="258" t="s">
        <v>448</v>
      </c>
      <c r="F265" s="258"/>
      <c r="G265" s="152">
        <f>SUM(G190:H190)</f>
        <v>7625.6400000000012</v>
      </c>
      <c r="H265" s="151" t="s">
        <v>449</v>
      </c>
      <c r="I265" s="258" t="s">
        <v>450</v>
      </c>
      <c r="J265" s="258"/>
      <c r="K265" s="151" t="s">
        <v>108</v>
      </c>
      <c r="L265" s="151" t="s">
        <v>451</v>
      </c>
      <c r="M265" s="151" t="s">
        <v>452</v>
      </c>
      <c r="N265" s="151" t="s">
        <v>453</v>
      </c>
    </row>
    <row r="266" spans="3:14" ht="88.05" customHeight="1">
      <c r="C266" s="151" t="s">
        <v>454</v>
      </c>
      <c r="D266" s="151" t="s">
        <v>455</v>
      </c>
      <c r="E266" s="258" t="s">
        <v>456</v>
      </c>
      <c r="F266" s="258"/>
      <c r="G266" s="152">
        <f>I231</f>
        <v>-18000</v>
      </c>
      <c r="H266" s="151" t="s">
        <v>457</v>
      </c>
      <c r="I266" s="258" t="s">
        <v>458</v>
      </c>
      <c r="J266" s="258"/>
      <c r="K266" s="151" t="s">
        <v>95</v>
      </c>
      <c r="L266" s="151" t="s">
        <v>459</v>
      </c>
      <c r="M266" s="151" t="s">
        <v>460</v>
      </c>
      <c r="N266" s="151" t="s">
        <v>461</v>
      </c>
    </row>
    <row r="267" spans="3:14" ht="88.05" customHeight="1">
      <c r="C267" s="151" t="s">
        <v>462</v>
      </c>
      <c r="D267" s="151" t="s">
        <v>463</v>
      </c>
      <c r="E267" s="258" t="s">
        <v>464</v>
      </c>
      <c r="F267" s="258"/>
      <c r="G267" s="152">
        <f>H230</f>
        <v>1450</v>
      </c>
      <c r="H267" s="151" t="s">
        <v>465</v>
      </c>
      <c r="I267" s="258" t="s">
        <v>466</v>
      </c>
      <c r="J267" s="258"/>
      <c r="K267" s="170" t="s">
        <v>116</v>
      </c>
      <c r="L267" s="170" t="s">
        <v>428</v>
      </c>
      <c r="M267" s="151" t="s">
        <v>467</v>
      </c>
      <c r="N267" s="151" t="s">
        <v>468</v>
      </c>
    </row>
  </sheetData>
  <mergeCells count="22">
    <mergeCell ref="C58:J58"/>
    <mergeCell ref="C22:J22"/>
    <mergeCell ref="C159:J159"/>
    <mergeCell ref="C177:J177"/>
    <mergeCell ref="C197:J197"/>
    <mergeCell ref="C212:J212"/>
    <mergeCell ref="C227:J227"/>
    <mergeCell ref="C238:J238"/>
    <mergeCell ref="E261:F261"/>
    <mergeCell ref="I261:J261"/>
    <mergeCell ref="E262:F262"/>
    <mergeCell ref="I262:J262"/>
    <mergeCell ref="E263:F263"/>
    <mergeCell ref="I263:J263"/>
    <mergeCell ref="E264:F264"/>
    <mergeCell ref="I264:J264"/>
    <mergeCell ref="E265:F265"/>
    <mergeCell ref="I265:J265"/>
    <mergeCell ref="E266:F266"/>
    <mergeCell ref="I266:J266"/>
    <mergeCell ref="E267:F267"/>
    <mergeCell ref="I267:J2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7A7B"/>
    <pageSetUpPr fitToPage="1"/>
  </sheetPr>
  <dimension ref="B1:AE110"/>
  <sheetViews>
    <sheetView showGridLines="0" workbookViewId="0"/>
  </sheetViews>
  <sheetFormatPr defaultRowHeight="13.5"/>
  <cols>
    <col min="2" max="2" width="22" customWidth="1"/>
    <col min="3" max="6" width="11" customWidth="1"/>
    <col min="7" max="7" width="18" customWidth="1"/>
    <col min="8" max="8" width="13" customWidth="1"/>
    <col min="9" max="9" width="11" customWidth="1"/>
    <col min="10" max="10" width="13" customWidth="1"/>
    <col min="11" max="11" width="11" customWidth="1"/>
    <col min="12" max="12" width="13" customWidth="1"/>
    <col min="13" max="13" width="11" customWidth="1"/>
    <col min="14" max="14" width="16" customWidth="1"/>
    <col min="20" max="31" width="13" customWidth="1"/>
  </cols>
  <sheetData>
    <row r="1" spans="2:31" ht="15" customHeight="1"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36" t="s">
        <v>163</v>
      </c>
      <c r="U1" s="236" t="s">
        <v>469</v>
      </c>
      <c r="V1" s="236"/>
      <c r="W1" s="236" t="s">
        <v>276</v>
      </c>
      <c r="X1" s="236" t="s">
        <v>15</v>
      </c>
      <c r="Y1" s="236" t="s">
        <v>470</v>
      </c>
      <c r="Z1" s="236"/>
      <c r="AA1" s="236"/>
      <c r="AB1" s="236" t="s">
        <v>471</v>
      </c>
      <c r="AC1" s="236" t="s">
        <v>246</v>
      </c>
      <c r="AD1" s="236"/>
      <c r="AE1" s="236"/>
    </row>
    <row r="2" spans="2:31" ht="15" customHeight="1">
      <c r="B2" s="262" t="s">
        <v>472</v>
      </c>
      <c r="C2" s="262" t="s">
        <v>472</v>
      </c>
      <c r="D2" s="262" t="s">
        <v>472</v>
      </c>
      <c r="E2" s="262" t="s">
        <v>472</v>
      </c>
      <c r="F2" s="262" t="s">
        <v>472</v>
      </c>
      <c r="G2" s="262" t="s">
        <v>472</v>
      </c>
      <c r="H2" s="262" t="s">
        <v>472</v>
      </c>
      <c r="I2" s="262" t="s">
        <v>472</v>
      </c>
      <c r="J2" s="262" t="s">
        <v>472</v>
      </c>
      <c r="K2" s="262" t="s">
        <v>472</v>
      </c>
      <c r="L2" s="262" t="s">
        <v>472</v>
      </c>
      <c r="M2" s="262" t="s">
        <v>472</v>
      </c>
      <c r="N2" s="262" t="s">
        <v>472</v>
      </c>
      <c r="O2" s="227"/>
      <c r="P2" s="227"/>
      <c r="Q2" s="227"/>
      <c r="R2" s="227"/>
      <c r="S2" s="227"/>
      <c r="T2" s="236" t="s">
        <v>473</v>
      </c>
      <c r="U2" s="237">
        <f>Variance!D241</f>
        <v>-84994.689999999988</v>
      </c>
      <c r="V2" s="236"/>
      <c r="W2" s="236" t="s">
        <v>474</v>
      </c>
      <c r="X2" s="241">
        <f>Budget!D12*100</f>
        <v>55.000000000000007</v>
      </c>
      <c r="Y2" s="241">
        <f>Variance!D96*100</f>
        <v>53.483870967741929</v>
      </c>
      <c r="Z2" s="236"/>
      <c r="AA2" s="236"/>
      <c r="AB2" s="236" t="s">
        <v>15</v>
      </c>
      <c r="AC2" s="238">
        <f>Forecast!D16</f>
        <v>1279795.4142999998</v>
      </c>
      <c r="AD2" s="236"/>
      <c r="AE2" s="236"/>
    </row>
    <row r="3" spans="2:31" ht="15" customHeight="1">
      <c r="B3" s="262" t="s">
        <v>472</v>
      </c>
      <c r="C3" s="262" t="s">
        <v>472</v>
      </c>
      <c r="D3" s="262" t="s">
        <v>472</v>
      </c>
      <c r="E3" s="262" t="s">
        <v>472</v>
      </c>
      <c r="F3" s="262" t="s">
        <v>472</v>
      </c>
      <c r="G3" s="262" t="s">
        <v>472</v>
      </c>
      <c r="H3" s="262" t="s">
        <v>472</v>
      </c>
      <c r="I3" s="262" t="s">
        <v>472</v>
      </c>
      <c r="J3" s="262" t="s">
        <v>472</v>
      </c>
      <c r="K3" s="262" t="s">
        <v>472</v>
      </c>
      <c r="L3" s="262" t="s">
        <v>472</v>
      </c>
      <c r="M3" s="262" t="s">
        <v>472</v>
      </c>
      <c r="N3" s="262" t="s">
        <v>472</v>
      </c>
      <c r="O3" s="227"/>
      <c r="P3" s="227"/>
      <c r="Q3" s="227"/>
      <c r="R3" s="227"/>
      <c r="S3" s="227"/>
      <c r="T3" s="236" t="s">
        <v>194</v>
      </c>
      <c r="U3" s="237">
        <f>Variance!D242</f>
        <v>-17667.04999999989</v>
      </c>
      <c r="V3" s="236"/>
      <c r="W3" s="236" t="s">
        <v>475</v>
      </c>
      <c r="X3" s="241">
        <f>Budget!E12*100</f>
        <v>57.999999999999993</v>
      </c>
      <c r="Y3" s="241">
        <f>Variance!E96*100</f>
        <v>57.285714285714285</v>
      </c>
      <c r="Z3" s="236"/>
      <c r="AA3" s="236"/>
      <c r="AB3" s="236" t="s">
        <v>155</v>
      </c>
      <c r="AC3" s="238">
        <f>Forecast!E16</f>
        <v>1137547.1776000001</v>
      </c>
      <c r="AD3" s="236"/>
      <c r="AE3" s="236"/>
    </row>
    <row r="4" spans="2:31" ht="15" customHeight="1">
      <c r="B4" s="263" t="s">
        <v>476</v>
      </c>
      <c r="C4" s="263" t="s">
        <v>476</v>
      </c>
      <c r="D4" s="263" t="s">
        <v>476</v>
      </c>
      <c r="E4" s="263" t="s">
        <v>476</v>
      </c>
      <c r="F4" s="263" t="s">
        <v>476</v>
      </c>
      <c r="G4" s="263" t="s">
        <v>476</v>
      </c>
      <c r="H4" s="263" t="s">
        <v>476</v>
      </c>
      <c r="I4" s="263" t="s">
        <v>476</v>
      </c>
      <c r="J4" s="263" t="s">
        <v>476</v>
      </c>
      <c r="K4" s="263" t="s">
        <v>476</v>
      </c>
      <c r="L4" s="263" t="s">
        <v>476</v>
      </c>
      <c r="M4" s="263" t="s">
        <v>476</v>
      </c>
      <c r="N4" s="263" t="s">
        <v>476</v>
      </c>
      <c r="O4" s="227"/>
      <c r="P4" s="227"/>
      <c r="Q4" s="227"/>
      <c r="R4" s="227"/>
      <c r="S4" s="227"/>
      <c r="T4" s="236" t="s">
        <v>477</v>
      </c>
      <c r="U4" s="237">
        <f>Variance!D243</f>
        <v>4470</v>
      </c>
      <c r="V4" s="236"/>
      <c r="W4" s="236" t="s">
        <v>478</v>
      </c>
      <c r="X4" s="241">
        <f>Budget!F12*100</f>
        <v>65</v>
      </c>
      <c r="Y4" s="241">
        <f>Variance!F96*100</f>
        <v>62</v>
      </c>
      <c r="Z4" s="236"/>
      <c r="AA4" s="236"/>
      <c r="AB4" s="236" t="s">
        <v>157</v>
      </c>
      <c r="AC4" s="238">
        <f>Forecast!G16</f>
        <v>1198073.9668440002</v>
      </c>
      <c r="AD4" s="236"/>
      <c r="AE4" s="236"/>
    </row>
    <row r="5" spans="2:31" ht="15" customHeight="1"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36" t="s">
        <v>479</v>
      </c>
      <c r="U5" s="237">
        <f>SUM(Variance!D244:D246)</f>
        <v>-9752.1199999999899</v>
      </c>
      <c r="V5" s="236"/>
      <c r="W5" s="236" t="s">
        <v>480</v>
      </c>
      <c r="X5" s="241">
        <f>Budget!G12*100</f>
        <v>70</v>
      </c>
      <c r="Y5" s="241">
        <f>Variance!G96*100</f>
        <v>65</v>
      </c>
      <c r="Z5" s="236"/>
      <c r="AA5" s="236"/>
      <c r="AB5" s="236" t="s">
        <v>159</v>
      </c>
      <c r="AC5" s="238">
        <f>Forecast!I16</f>
        <v>1031710.4770119999</v>
      </c>
      <c r="AD5" s="236"/>
      <c r="AE5" s="236"/>
    </row>
    <row r="6" spans="2:31" ht="15" customHeight="1">
      <c r="B6" s="264" t="s">
        <v>481</v>
      </c>
      <c r="C6" s="264" t="s">
        <v>481</v>
      </c>
      <c r="D6" s="264" t="s">
        <v>481</v>
      </c>
      <c r="E6" s="264" t="s">
        <v>481</v>
      </c>
      <c r="F6" s="264" t="s">
        <v>481</v>
      </c>
      <c r="G6" s="264" t="s">
        <v>481</v>
      </c>
      <c r="H6" s="264" t="s">
        <v>481</v>
      </c>
      <c r="I6" s="264" t="s">
        <v>481</v>
      </c>
      <c r="J6" s="264" t="s">
        <v>481</v>
      </c>
      <c r="K6" s="264" t="s">
        <v>481</v>
      </c>
      <c r="L6" s="264" t="s">
        <v>481</v>
      </c>
      <c r="M6" s="264" t="s">
        <v>481</v>
      </c>
      <c r="N6" s="264" t="s">
        <v>481</v>
      </c>
      <c r="O6" s="227"/>
      <c r="P6" s="227"/>
      <c r="Q6" s="227"/>
      <c r="R6" s="227"/>
      <c r="S6" s="227"/>
      <c r="T6" s="236" t="s">
        <v>482</v>
      </c>
      <c r="U6" s="237">
        <f>SUM(Variance!D247:D248)</f>
        <v>8649.6000000000131</v>
      </c>
      <c r="V6" s="236"/>
      <c r="W6" s="236" t="s">
        <v>483</v>
      </c>
      <c r="X6" s="241">
        <f>Budget!H12*100</f>
        <v>74</v>
      </c>
      <c r="Y6" s="241">
        <f>Variance!H96*100</f>
        <v>69</v>
      </c>
      <c r="Z6" s="236"/>
      <c r="AA6" s="236"/>
      <c r="AB6" s="236"/>
      <c r="AC6" s="236"/>
      <c r="AD6" s="236"/>
      <c r="AE6" s="236"/>
    </row>
    <row r="7" spans="2:31" ht="15" customHeight="1"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36" t="s">
        <v>484</v>
      </c>
      <c r="U7" s="237">
        <f>Variance!D249</f>
        <v>3927.6695999999974</v>
      </c>
      <c r="V7" s="236"/>
      <c r="W7" s="236" t="s">
        <v>485</v>
      </c>
      <c r="X7" s="241">
        <f>Budget!I12*100</f>
        <v>78</v>
      </c>
      <c r="Y7" s="241">
        <f>Variance!I96*100</f>
        <v>75.5</v>
      </c>
      <c r="Z7" s="236"/>
      <c r="AA7" s="236"/>
      <c r="AB7" s="236"/>
      <c r="AC7" s="236"/>
      <c r="AD7" s="236"/>
      <c r="AE7" s="236"/>
    </row>
    <row r="8" spans="2:31" ht="15" customHeight="1">
      <c r="B8" s="244" t="s">
        <v>218</v>
      </c>
      <c r="C8" s="244" t="s">
        <v>486</v>
      </c>
      <c r="D8" s="244" t="s">
        <v>15</v>
      </c>
      <c r="E8" s="244" t="s">
        <v>19</v>
      </c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36" t="s">
        <v>487</v>
      </c>
      <c r="U8" s="237">
        <f>SUM(Variance!D250:D251)</f>
        <v>-800</v>
      </c>
      <c r="V8" s="236"/>
      <c r="W8" s="236" t="s">
        <v>488</v>
      </c>
      <c r="X8" s="241">
        <f>Budget!J12*100</f>
        <v>84</v>
      </c>
      <c r="Y8" s="241">
        <f>Forecast!J33*100</f>
        <v>82.322580645161295</v>
      </c>
      <c r="Z8" s="236"/>
      <c r="AA8" s="236"/>
      <c r="AB8" s="236"/>
      <c r="AC8" s="236"/>
      <c r="AD8" s="236"/>
      <c r="AE8" s="236"/>
    </row>
    <row r="9" spans="2:31" ht="15" customHeight="1">
      <c r="B9" s="229" t="s">
        <v>225</v>
      </c>
      <c r="C9" s="230">
        <f>Variance!D27</f>
        <v>0.63745856353591157</v>
      </c>
      <c r="D9" s="230">
        <f>Variance!E27</f>
        <v>0.66729281767955806</v>
      </c>
      <c r="E9" s="231">
        <f>Variance!F27</f>
        <v>-2.9834254143646488</v>
      </c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36" t="s">
        <v>489</v>
      </c>
      <c r="U9" s="237">
        <f>Variance!D253</f>
        <v>-1760</v>
      </c>
      <c r="V9" s="236"/>
      <c r="W9" s="236" t="s">
        <v>490</v>
      </c>
      <c r="X9" s="241">
        <f>Budget!K12*100</f>
        <v>82</v>
      </c>
      <c r="Y9" s="241">
        <f>Forecast!K33*100</f>
        <v>80.354838709677423</v>
      </c>
      <c r="Z9" s="236"/>
      <c r="AA9" s="236"/>
      <c r="AB9" s="236"/>
      <c r="AC9" s="236"/>
      <c r="AD9" s="236"/>
      <c r="AE9" s="236"/>
    </row>
    <row r="10" spans="2:31" ht="15" customHeight="1">
      <c r="B10" s="229" t="s">
        <v>491</v>
      </c>
      <c r="C10" s="232">
        <f>Variance!D38</f>
        <v>1784860</v>
      </c>
      <c r="D10" s="232">
        <f>Variance!E38</f>
        <v>1883051.7399999998</v>
      </c>
      <c r="E10" s="232">
        <f>Variance!F38</f>
        <v>-98191.739999999758</v>
      </c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36" t="s">
        <v>71</v>
      </c>
      <c r="U10" s="237">
        <f>Variance!D254</f>
        <v>17400</v>
      </c>
      <c r="V10" s="236"/>
      <c r="W10" s="236" t="s">
        <v>492</v>
      </c>
      <c r="X10" s="241">
        <f>Budget!L12*100</f>
        <v>73</v>
      </c>
      <c r="Y10" s="241">
        <f>Forecast!L33*100</f>
        <v>71.533333333333331</v>
      </c>
      <c r="Z10" s="236"/>
      <c r="AA10" s="236"/>
      <c r="AB10" s="236"/>
      <c r="AC10" s="236"/>
      <c r="AD10" s="236"/>
      <c r="AE10" s="236"/>
    </row>
    <row r="11" spans="2:31" ht="15" customHeight="1">
      <c r="B11" s="229" t="s">
        <v>493</v>
      </c>
      <c r="C11" s="232">
        <f>Variance!D47</f>
        <v>453743.42000000004</v>
      </c>
      <c r="D11" s="232">
        <f>Variance!E47</f>
        <v>534270.01039999991</v>
      </c>
      <c r="E11" s="232">
        <f>Variance!F47</f>
        <v>-80526.59039999987</v>
      </c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36"/>
      <c r="U11" s="236"/>
      <c r="V11" s="236"/>
      <c r="W11" s="236" t="s">
        <v>494</v>
      </c>
      <c r="X11" s="241">
        <f>Budget!M12*100</f>
        <v>71</v>
      </c>
      <c r="Y11" s="241">
        <f>Forecast!M33*100</f>
        <v>69.935483870967744</v>
      </c>
      <c r="Z11" s="236"/>
      <c r="AA11" s="236"/>
      <c r="AB11" s="236"/>
      <c r="AC11" s="236"/>
      <c r="AD11" s="236"/>
      <c r="AE11" s="236"/>
    </row>
    <row r="12" spans="2:31" ht="15" customHeight="1">
      <c r="B12" s="229" t="s">
        <v>247</v>
      </c>
      <c r="C12" s="230">
        <f>Variance!D48</f>
        <v>0.25421793305917556</v>
      </c>
      <c r="D12" s="230">
        <f>Variance!E48</f>
        <v>0.28372561361484416</v>
      </c>
      <c r="E12" s="231">
        <f>Variance!F48</f>
        <v>-2.9507680555668605</v>
      </c>
      <c r="F12" s="227"/>
      <c r="G12" s="227"/>
      <c r="H12" s="227"/>
      <c r="I12" s="227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36"/>
      <c r="U12" s="236"/>
      <c r="V12" s="236"/>
      <c r="W12" s="236" t="s">
        <v>495</v>
      </c>
      <c r="X12" s="241">
        <f>Budget!N12*100</f>
        <v>61</v>
      </c>
      <c r="Y12" s="241">
        <f>Forecast!N33*100</f>
        <v>60.4</v>
      </c>
      <c r="Z12" s="236"/>
      <c r="AA12" s="236"/>
      <c r="AB12" s="236"/>
      <c r="AC12" s="236"/>
      <c r="AD12" s="236"/>
      <c r="AE12" s="236"/>
    </row>
    <row r="13" spans="2:31" ht="15" customHeight="1">
      <c r="B13" s="227"/>
      <c r="C13" s="227"/>
      <c r="D13" s="227"/>
      <c r="E13" s="227"/>
      <c r="F13" s="227"/>
      <c r="G13" s="227"/>
      <c r="H13" s="227"/>
      <c r="I13" s="227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36"/>
      <c r="U13" s="236"/>
      <c r="V13" s="236"/>
      <c r="W13" s="236" t="s">
        <v>496</v>
      </c>
      <c r="X13" s="241">
        <f>Budget!O12*100</f>
        <v>59</v>
      </c>
      <c r="Y13" s="241">
        <f>Forecast!O33*100</f>
        <v>58.41935483870968</v>
      </c>
      <c r="Z13" s="236"/>
      <c r="AA13" s="236"/>
      <c r="AB13" s="236"/>
      <c r="AC13" s="236"/>
      <c r="AD13" s="236"/>
      <c r="AE13" s="236"/>
    </row>
    <row r="14" spans="2:31" ht="15" customHeight="1">
      <c r="B14" s="227"/>
      <c r="C14" s="227"/>
      <c r="D14" s="227"/>
      <c r="E14" s="227"/>
      <c r="F14" s="227"/>
      <c r="G14" s="227"/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</row>
    <row r="15" spans="2:31" ht="15" customHeight="1">
      <c r="B15" s="264" t="s">
        <v>497</v>
      </c>
      <c r="C15" s="264" t="s">
        <v>497</v>
      </c>
      <c r="D15" s="264" t="s">
        <v>497</v>
      </c>
      <c r="E15" s="264" t="s">
        <v>497</v>
      </c>
      <c r="F15" s="264" t="s">
        <v>497</v>
      </c>
      <c r="G15" s="264" t="s">
        <v>498</v>
      </c>
      <c r="H15" s="264" t="s">
        <v>498</v>
      </c>
      <c r="I15" s="264" t="s">
        <v>498</v>
      </c>
      <c r="J15" s="264" t="s">
        <v>498</v>
      </c>
      <c r="K15" s="264" t="s">
        <v>498</v>
      </c>
      <c r="L15" s="264" t="s">
        <v>498</v>
      </c>
      <c r="M15" s="264" t="s">
        <v>498</v>
      </c>
      <c r="N15" s="264" t="s">
        <v>498</v>
      </c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</row>
    <row r="16" spans="2:31" ht="15" customHeight="1">
      <c r="B16" s="265" t="s">
        <v>499</v>
      </c>
      <c r="C16" s="266" t="s">
        <v>499</v>
      </c>
      <c r="D16" s="266" t="s">
        <v>499</v>
      </c>
      <c r="E16" s="266" t="s">
        <v>499</v>
      </c>
      <c r="F16" s="267" t="s">
        <v>499</v>
      </c>
      <c r="G16" s="227"/>
      <c r="H16" s="227"/>
      <c r="I16" s="227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</row>
    <row r="17" spans="2:31" ht="15" customHeight="1">
      <c r="B17" s="268" t="s">
        <v>499</v>
      </c>
      <c r="C17" s="269" t="s">
        <v>499</v>
      </c>
      <c r="D17" s="269" t="s">
        <v>499</v>
      </c>
      <c r="E17" s="269" t="s">
        <v>499</v>
      </c>
      <c r="F17" s="270" t="s">
        <v>499</v>
      </c>
      <c r="G17" s="227"/>
      <c r="H17" s="227"/>
      <c r="I17" s="227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</row>
    <row r="18" spans="2:31" ht="15" customHeight="1">
      <c r="B18" s="271" t="s">
        <v>499</v>
      </c>
      <c r="C18" s="272" t="s">
        <v>499</v>
      </c>
      <c r="D18" s="272" t="s">
        <v>499</v>
      </c>
      <c r="E18" s="272" t="s">
        <v>499</v>
      </c>
      <c r="F18" s="273" t="s">
        <v>499</v>
      </c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</row>
    <row r="19" spans="2:31" ht="15" customHeight="1">
      <c r="B19" s="274" t="s">
        <v>500</v>
      </c>
      <c r="C19" s="275" t="s">
        <v>500</v>
      </c>
      <c r="D19" s="275" t="s">
        <v>500</v>
      </c>
      <c r="E19" s="275" t="s">
        <v>500</v>
      </c>
      <c r="F19" s="276" t="s">
        <v>500</v>
      </c>
      <c r="G19" s="227"/>
      <c r="H19" s="227"/>
      <c r="I19" s="227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  <c r="AA19" s="227"/>
      <c r="AB19" s="227"/>
      <c r="AC19" s="227"/>
      <c r="AD19" s="227"/>
      <c r="AE19" s="227"/>
    </row>
    <row r="20" spans="2:31" ht="15" customHeight="1">
      <c r="B20" s="277" t="s">
        <v>500</v>
      </c>
      <c r="C20" s="278" t="s">
        <v>500</v>
      </c>
      <c r="D20" s="278" t="s">
        <v>500</v>
      </c>
      <c r="E20" s="278" t="s">
        <v>500</v>
      </c>
      <c r="F20" s="279" t="s">
        <v>500</v>
      </c>
      <c r="G20" s="227"/>
      <c r="H20" s="227"/>
      <c r="I20" s="227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</row>
    <row r="21" spans="2:31" ht="15" customHeight="1">
      <c r="B21" s="280" t="s">
        <v>500</v>
      </c>
      <c r="C21" s="281" t="s">
        <v>500</v>
      </c>
      <c r="D21" s="281" t="s">
        <v>500</v>
      </c>
      <c r="E21" s="281" t="s">
        <v>500</v>
      </c>
      <c r="F21" s="282" t="s">
        <v>500</v>
      </c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</row>
    <row r="22" spans="2:31" ht="15" customHeight="1">
      <c r="B22" s="265" t="s">
        <v>501</v>
      </c>
      <c r="C22" s="266" t="s">
        <v>501</v>
      </c>
      <c r="D22" s="266" t="s">
        <v>501</v>
      </c>
      <c r="E22" s="266" t="s">
        <v>501</v>
      </c>
      <c r="F22" s="267" t="s">
        <v>501</v>
      </c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</row>
    <row r="23" spans="2:31" ht="15" customHeight="1">
      <c r="B23" s="268" t="s">
        <v>501</v>
      </c>
      <c r="C23" s="269" t="s">
        <v>501</v>
      </c>
      <c r="D23" s="269" t="s">
        <v>501</v>
      </c>
      <c r="E23" s="269" t="s">
        <v>501</v>
      </c>
      <c r="F23" s="270" t="s">
        <v>501</v>
      </c>
      <c r="G23" s="227"/>
      <c r="H23" s="227"/>
      <c r="I23" s="227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  <c r="AA23" s="227"/>
      <c r="AB23" s="227"/>
      <c r="AC23" s="227"/>
      <c r="AD23" s="227"/>
      <c r="AE23" s="227"/>
    </row>
    <row r="24" spans="2:31" ht="15" customHeight="1">
      <c r="B24" s="271" t="s">
        <v>501</v>
      </c>
      <c r="C24" s="272" t="s">
        <v>501</v>
      </c>
      <c r="D24" s="272" t="s">
        <v>501</v>
      </c>
      <c r="E24" s="272" t="s">
        <v>501</v>
      </c>
      <c r="F24" s="273" t="s">
        <v>501</v>
      </c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</row>
    <row r="25" spans="2:31" ht="15" customHeight="1">
      <c r="B25" s="283" t="s">
        <v>502</v>
      </c>
      <c r="C25" s="284" t="s">
        <v>502</v>
      </c>
      <c r="D25" s="284" t="s">
        <v>502</v>
      </c>
      <c r="E25" s="284" t="s">
        <v>502</v>
      </c>
      <c r="F25" s="285" t="s">
        <v>502</v>
      </c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227"/>
      <c r="AB25" s="227"/>
      <c r="AC25" s="227"/>
      <c r="AD25" s="227"/>
      <c r="AE25" s="227"/>
    </row>
    <row r="26" spans="2:31" ht="15" customHeight="1">
      <c r="B26" s="286" t="s">
        <v>502</v>
      </c>
      <c r="C26" s="287" t="s">
        <v>502</v>
      </c>
      <c r="D26" s="287" t="s">
        <v>502</v>
      </c>
      <c r="E26" s="287" t="s">
        <v>502</v>
      </c>
      <c r="F26" s="288" t="s">
        <v>502</v>
      </c>
      <c r="G26" s="227"/>
      <c r="H26" s="227"/>
      <c r="I26" s="227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</row>
    <row r="27" spans="2:31" ht="15" customHeight="1">
      <c r="B27" s="289" t="s">
        <v>502</v>
      </c>
      <c r="C27" s="290" t="s">
        <v>502</v>
      </c>
      <c r="D27" s="290" t="s">
        <v>502</v>
      </c>
      <c r="E27" s="290" t="s">
        <v>502</v>
      </c>
      <c r="F27" s="291" t="s">
        <v>502</v>
      </c>
      <c r="G27" s="227"/>
      <c r="H27" s="227"/>
      <c r="I27" s="227"/>
      <c r="J27" s="227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  <c r="AA27" s="227"/>
      <c r="AB27" s="227"/>
      <c r="AC27" s="227"/>
      <c r="AD27" s="227"/>
      <c r="AE27" s="227"/>
    </row>
    <row r="28" spans="2:31" ht="15" customHeight="1">
      <c r="B28" s="227"/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</row>
    <row r="29" spans="2:31" ht="15" customHeight="1">
      <c r="B29" s="264" t="s">
        <v>503</v>
      </c>
      <c r="C29" s="264" t="s">
        <v>503</v>
      </c>
      <c r="D29" s="264" t="s">
        <v>503</v>
      </c>
      <c r="E29" s="264" t="s">
        <v>503</v>
      </c>
      <c r="F29" s="264" t="s">
        <v>503</v>
      </c>
      <c r="G29" s="227"/>
      <c r="H29" s="227"/>
      <c r="I29" s="227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27"/>
    </row>
    <row r="30" spans="2:31" ht="15" customHeight="1">
      <c r="B30" s="244" t="s">
        <v>163</v>
      </c>
      <c r="C30" s="244" t="s">
        <v>486</v>
      </c>
      <c r="D30" s="244" t="s">
        <v>15</v>
      </c>
      <c r="E30" s="244" t="s">
        <v>19</v>
      </c>
      <c r="F30" s="244" t="s">
        <v>504</v>
      </c>
      <c r="G30" s="227"/>
      <c r="H30" s="227"/>
      <c r="I30" s="227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</row>
    <row r="31" spans="2:31" ht="22.05" customHeight="1">
      <c r="B31" s="228" t="s">
        <v>175</v>
      </c>
      <c r="C31" s="233">
        <f>Variance!D26</f>
        <v>11538</v>
      </c>
      <c r="D31" s="233">
        <f>Variance!E26</f>
        <v>12078</v>
      </c>
      <c r="E31" s="233">
        <f>Variance!F26</f>
        <v>-540</v>
      </c>
      <c r="F31" s="239" t="s">
        <v>505</v>
      </c>
      <c r="G31" s="227"/>
      <c r="H31" s="227"/>
      <c r="I31" s="227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  <c r="AA31" s="227"/>
      <c r="AB31" s="227"/>
      <c r="AC31" s="227"/>
      <c r="AD31" s="227"/>
      <c r="AE31" s="227"/>
    </row>
    <row r="32" spans="2:31" ht="22.05" customHeight="1">
      <c r="B32" s="228" t="s">
        <v>178</v>
      </c>
      <c r="C32" s="230">
        <f>Variance!D30</f>
        <v>0.39226902409429709</v>
      </c>
      <c r="D32" s="230">
        <f>Variance!E30</f>
        <v>0.33275707898658724</v>
      </c>
      <c r="E32" s="231">
        <f>Variance!F30</f>
        <v>5.9511945107709856</v>
      </c>
      <c r="F32" s="239" t="s">
        <v>506</v>
      </c>
      <c r="G32" s="227"/>
      <c r="H32" s="227"/>
      <c r="I32" s="227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</row>
    <row r="33" spans="2:31" ht="22.05" customHeight="1">
      <c r="B33" s="228" t="s">
        <v>232</v>
      </c>
      <c r="C33" s="234">
        <f>Variance!D33</f>
        <v>154.69405442884383</v>
      </c>
      <c r="D33" s="234">
        <f>Variance!E33</f>
        <v>155.90757906938234</v>
      </c>
      <c r="E33" s="234">
        <f>Variance!F33</f>
        <v>-1.2135246405385089</v>
      </c>
      <c r="F33" s="239" t="s">
        <v>507</v>
      </c>
      <c r="G33" s="227"/>
      <c r="H33" s="227"/>
      <c r="I33" s="227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  <c r="AA33" s="227"/>
      <c r="AB33" s="227"/>
      <c r="AC33" s="227"/>
      <c r="AD33" s="227"/>
      <c r="AE33" s="227"/>
    </row>
    <row r="34" spans="2:31" ht="22.05" customHeight="1">
      <c r="B34" s="228" t="s">
        <v>508</v>
      </c>
      <c r="C34" s="235">
        <f>Variance!D51</f>
        <v>0.57760270410816428</v>
      </c>
      <c r="D34" s="235">
        <f>Variance!E51</f>
        <v>0.53281834740851142</v>
      </c>
      <c r="E34" s="235">
        <f>Variance!F51</f>
        <v>4.4784356699652861E-2</v>
      </c>
      <c r="F34" s="239" t="s">
        <v>509</v>
      </c>
      <c r="G34" s="264" t="s">
        <v>510</v>
      </c>
      <c r="H34" s="264" t="s">
        <v>510</v>
      </c>
      <c r="I34" s="264" t="s">
        <v>510</v>
      </c>
      <c r="J34" s="264" t="s">
        <v>510</v>
      </c>
      <c r="K34" s="264" t="s">
        <v>510</v>
      </c>
      <c r="L34" s="264" t="s">
        <v>510</v>
      </c>
      <c r="M34" s="264" t="s">
        <v>510</v>
      </c>
      <c r="N34" s="264" t="s">
        <v>510</v>
      </c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</row>
    <row r="35" spans="2:31" ht="22.05" customHeight="1">
      <c r="B35" s="228" t="s">
        <v>511</v>
      </c>
      <c r="C35" s="234">
        <f>Variance!D52</f>
        <v>22.707360624694275</v>
      </c>
      <c r="D35" s="234">
        <f>Variance!E52</f>
        <v>22</v>
      </c>
      <c r="E35" s="234">
        <f>Variance!F52</f>
        <v>0.70736062469427452</v>
      </c>
      <c r="F35" s="239" t="s">
        <v>512</v>
      </c>
      <c r="G35" s="292" t="s">
        <v>387</v>
      </c>
      <c r="H35" s="292"/>
      <c r="I35" s="292"/>
      <c r="J35" s="292"/>
      <c r="K35" s="292"/>
      <c r="L35" s="292" t="s">
        <v>513</v>
      </c>
      <c r="M35" s="292"/>
      <c r="N35" s="244" t="s">
        <v>389</v>
      </c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</row>
    <row r="36" spans="2:31" ht="22.05" customHeight="1">
      <c r="B36" s="228" t="s">
        <v>514</v>
      </c>
      <c r="C36" s="234">
        <f>Variance!D53</f>
        <v>19.321520194141101</v>
      </c>
      <c r="D36" s="234">
        <f>Variance!E53</f>
        <v>19.173811889385657</v>
      </c>
      <c r="E36" s="234">
        <f>Variance!F53</f>
        <v>0.14770830475544372</v>
      </c>
      <c r="F36" s="239" t="s">
        <v>515</v>
      </c>
      <c r="G36" s="293" t="s">
        <v>516</v>
      </c>
      <c r="H36" s="293"/>
      <c r="I36" s="293"/>
      <c r="J36" s="293"/>
      <c r="K36" s="293"/>
      <c r="L36" s="294">
        <f>Variance!D240</f>
        <v>534270.01039999991</v>
      </c>
      <c r="M36" s="294"/>
      <c r="N36" s="246" t="s">
        <v>391</v>
      </c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</row>
    <row r="37" spans="2:31" ht="15" customHeight="1">
      <c r="B37" s="227"/>
      <c r="C37" s="227"/>
      <c r="D37" s="227"/>
      <c r="E37" s="227"/>
      <c r="F37" s="227"/>
      <c r="G37" s="295" t="s">
        <v>517</v>
      </c>
      <c r="H37" s="295"/>
      <c r="I37" s="295"/>
      <c r="J37" s="295"/>
      <c r="K37" s="295"/>
      <c r="L37" s="296">
        <f>Variance!D241</f>
        <v>-84994.689999999988</v>
      </c>
      <c r="M37" s="296"/>
      <c r="N37" s="228" t="str">
        <f>Variance!E241</f>
        <v>Unfavorable</v>
      </c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  <c r="AA37" s="227"/>
      <c r="AB37" s="227"/>
      <c r="AC37" s="227"/>
      <c r="AD37" s="227"/>
      <c r="AE37" s="227"/>
    </row>
    <row r="38" spans="2:31" ht="15" customHeight="1">
      <c r="B38" s="227"/>
      <c r="C38" s="227"/>
      <c r="D38" s="227"/>
      <c r="E38" s="227"/>
      <c r="F38" s="227"/>
      <c r="G38" s="295" t="s">
        <v>518</v>
      </c>
      <c r="H38" s="295"/>
      <c r="I38" s="295"/>
      <c r="J38" s="295"/>
      <c r="K38" s="295"/>
      <c r="L38" s="296">
        <f>Variance!D242</f>
        <v>-17667.04999999989</v>
      </c>
      <c r="M38" s="296"/>
      <c r="N38" s="228" t="str">
        <f>Variance!E242</f>
        <v>Unfavorable</v>
      </c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</row>
    <row r="39" spans="2:31" ht="15" customHeight="1">
      <c r="B39" s="227"/>
      <c r="C39" s="227"/>
      <c r="D39" s="227"/>
      <c r="E39" s="227"/>
      <c r="F39" s="227"/>
      <c r="G39" s="295" t="s">
        <v>519</v>
      </c>
      <c r="H39" s="295"/>
      <c r="I39" s="295"/>
      <c r="J39" s="295"/>
      <c r="K39" s="295"/>
      <c r="L39" s="296">
        <f>Variance!D243</f>
        <v>4470</v>
      </c>
      <c r="M39" s="296"/>
      <c r="N39" s="228" t="str">
        <f>Variance!E243</f>
        <v>Favorable</v>
      </c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</row>
    <row r="40" spans="2:31" ht="15" customHeight="1">
      <c r="B40" s="227"/>
      <c r="C40" s="227"/>
      <c r="D40" s="227"/>
      <c r="E40" s="227"/>
      <c r="F40" s="227"/>
      <c r="G40" s="295" t="s">
        <v>520</v>
      </c>
      <c r="H40" s="295"/>
      <c r="I40" s="295"/>
      <c r="J40" s="295"/>
      <c r="K40" s="295"/>
      <c r="L40" s="296">
        <f>Variance!D244</f>
        <v>6289.58</v>
      </c>
      <c r="M40" s="296"/>
      <c r="N40" s="228" t="str">
        <f>Variance!E244</f>
        <v>Favorable</v>
      </c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</row>
    <row r="41" spans="2:31" ht="15" customHeight="1">
      <c r="B41" s="227"/>
      <c r="C41" s="227"/>
      <c r="D41" s="227"/>
      <c r="E41" s="227"/>
      <c r="F41" s="227"/>
      <c r="G41" s="295" t="s">
        <v>521</v>
      </c>
      <c r="H41" s="295"/>
      <c r="I41" s="295"/>
      <c r="J41" s="295"/>
      <c r="K41" s="295"/>
      <c r="L41" s="296">
        <f>Variance!D245</f>
        <v>-11327.579999999996</v>
      </c>
      <c r="M41" s="296"/>
      <c r="N41" s="228" t="str">
        <f>Variance!E245</f>
        <v>Unfavorable</v>
      </c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  <c r="AA41" s="227"/>
      <c r="AB41" s="227"/>
      <c r="AC41" s="227"/>
      <c r="AD41" s="227"/>
      <c r="AE41" s="227"/>
    </row>
    <row r="42" spans="2:31" ht="15" customHeight="1">
      <c r="B42" s="227"/>
      <c r="C42" s="227"/>
      <c r="D42" s="227"/>
      <c r="E42" s="227"/>
      <c r="F42" s="227"/>
      <c r="G42" s="295" t="s">
        <v>522</v>
      </c>
      <c r="H42" s="295"/>
      <c r="I42" s="295"/>
      <c r="J42" s="295"/>
      <c r="K42" s="295"/>
      <c r="L42" s="296">
        <f>Variance!D246</f>
        <v>-4714.1199999999935</v>
      </c>
      <c r="M42" s="296"/>
      <c r="N42" s="228" t="str">
        <f>Variance!E246</f>
        <v>Unfavorable</v>
      </c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</row>
    <row r="43" spans="2:31" ht="15" customHeight="1">
      <c r="B43" s="227"/>
      <c r="C43" s="227"/>
      <c r="D43" s="227"/>
      <c r="E43" s="227"/>
      <c r="F43" s="227"/>
      <c r="G43" s="295" t="s">
        <v>523</v>
      </c>
      <c r="H43" s="295"/>
      <c r="I43" s="295"/>
      <c r="J43" s="295"/>
      <c r="K43" s="295"/>
      <c r="L43" s="296">
        <f>SUM(Variance!D247:D248)</f>
        <v>8649.6000000000131</v>
      </c>
      <c r="M43" s="296"/>
      <c r="N43" s="228" t="str">
        <f>IF(L43&gt;0,"Favorable",IF(L43&lt;0,"Unfavorable","Neutral"))</f>
        <v>Favorable</v>
      </c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  <c r="AA43" s="227"/>
      <c r="AB43" s="227"/>
      <c r="AC43" s="227"/>
      <c r="AD43" s="227"/>
      <c r="AE43" s="227"/>
    </row>
    <row r="44" spans="2:31" ht="15" customHeight="1">
      <c r="B44" s="227"/>
      <c r="C44" s="227"/>
      <c r="D44" s="227"/>
      <c r="E44" s="227"/>
      <c r="F44" s="227"/>
      <c r="G44" s="295" t="s">
        <v>524</v>
      </c>
      <c r="H44" s="295"/>
      <c r="I44" s="295"/>
      <c r="J44" s="295"/>
      <c r="K44" s="295"/>
      <c r="L44" s="296">
        <f>Variance!D249</f>
        <v>3927.6695999999974</v>
      </c>
      <c r="M44" s="296"/>
      <c r="N44" s="228" t="str">
        <f>Variance!E249</f>
        <v>Favorable</v>
      </c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</row>
    <row r="45" spans="2:31" ht="15" customHeight="1">
      <c r="B45" s="227"/>
      <c r="C45" s="227"/>
      <c r="D45" s="227"/>
      <c r="E45" s="227"/>
      <c r="F45" s="227"/>
      <c r="G45" s="295" t="s">
        <v>525</v>
      </c>
      <c r="H45" s="295"/>
      <c r="I45" s="295"/>
      <c r="J45" s="295"/>
      <c r="K45" s="295"/>
      <c r="L45" s="296">
        <f>SUM(Variance!D250:D251)</f>
        <v>-800</v>
      </c>
      <c r="M45" s="296"/>
      <c r="N45" s="228" t="str">
        <f>IF(L45&gt;0,"Favorable",IF(L45&lt;0,"Unfavorable","Neutral"))</f>
        <v>Unfavorable</v>
      </c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</row>
    <row r="46" spans="2:31" ht="15" customHeight="1">
      <c r="B46" s="227"/>
      <c r="C46" s="227"/>
      <c r="D46" s="227"/>
      <c r="E46" s="227"/>
      <c r="F46" s="227"/>
      <c r="G46" s="295" t="s">
        <v>526</v>
      </c>
      <c r="H46" s="295"/>
      <c r="I46" s="295"/>
      <c r="J46" s="295"/>
      <c r="K46" s="295"/>
      <c r="L46" s="296">
        <f>SUM(Variance!D252:D253)</f>
        <v>-1760</v>
      </c>
      <c r="M46" s="296"/>
      <c r="N46" s="228" t="str">
        <f>IF(L46&gt;0,"Favorable",IF(L46&lt;0,"Unfavorable","Neutral"))</f>
        <v>Unfavorable</v>
      </c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</row>
    <row r="47" spans="2:31" ht="15" customHeight="1">
      <c r="B47" s="227"/>
      <c r="C47" s="227"/>
      <c r="D47" s="227"/>
      <c r="E47" s="227"/>
      <c r="F47" s="227"/>
      <c r="G47" s="295" t="s">
        <v>527</v>
      </c>
      <c r="H47" s="295"/>
      <c r="I47" s="295"/>
      <c r="J47" s="295"/>
      <c r="K47" s="295"/>
      <c r="L47" s="296">
        <f>Variance!D254</f>
        <v>17400</v>
      </c>
      <c r="M47" s="296"/>
      <c r="N47" s="228" t="str">
        <f>Variance!E254</f>
        <v>Favorable</v>
      </c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</row>
    <row r="48" spans="2:31" ht="15" customHeight="1">
      <c r="B48" s="227"/>
      <c r="C48" s="227"/>
      <c r="D48" s="227"/>
      <c r="E48" s="227"/>
      <c r="F48" s="227"/>
      <c r="G48" s="297" t="s">
        <v>528</v>
      </c>
      <c r="H48" s="297"/>
      <c r="I48" s="297"/>
      <c r="J48" s="297"/>
      <c r="K48" s="297"/>
      <c r="L48" s="298">
        <f>Variance!D256</f>
        <v>453743.42000000004</v>
      </c>
      <c r="M48" s="298"/>
      <c r="N48" s="247" t="s">
        <v>407</v>
      </c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</row>
    <row r="49" spans="2:31" ht="15" customHeight="1">
      <c r="B49" s="227"/>
      <c r="C49" s="227"/>
      <c r="D49" s="227"/>
      <c r="E49" s="227"/>
      <c r="F49" s="227"/>
      <c r="G49" s="227"/>
      <c r="H49" s="227"/>
      <c r="I49" s="227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  <c r="AA49" s="227"/>
      <c r="AB49" s="227"/>
      <c r="AC49" s="227"/>
      <c r="AD49" s="227"/>
      <c r="AE49" s="227"/>
    </row>
    <row r="50" spans="2:31" ht="15" customHeight="1">
      <c r="B50" s="262" t="s">
        <v>529</v>
      </c>
      <c r="C50" s="262" t="s">
        <v>529</v>
      </c>
      <c r="D50" s="262" t="s">
        <v>529</v>
      </c>
      <c r="E50" s="262" t="s">
        <v>529</v>
      </c>
      <c r="F50" s="262" t="s">
        <v>529</v>
      </c>
      <c r="G50" s="262" t="s">
        <v>529</v>
      </c>
      <c r="H50" s="262" t="s">
        <v>529</v>
      </c>
      <c r="I50" s="262" t="s">
        <v>529</v>
      </c>
      <c r="J50" s="262" t="s">
        <v>529</v>
      </c>
      <c r="K50" s="262" t="s">
        <v>529</v>
      </c>
      <c r="L50" s="262" t="s">
        <v>529</v>
      </c>
      <c r="M50" s="262" t="s">
        <v>529</v>
      </c>
      <c r="N50" s="262" t="s">
        <v>529</v>
      </c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</row>
    <row r="51" spans="2:31" ht="15" customHeight="1">
      <c r="B51" s="262" t="s">
        <v>529</v>
      </c>
      <c r="C51" s="262" t="s">
        <v>529</v>
      </c>
      <c r="D51" s="262" t="s">
        <v>529</v>
      </c>
      <c r="E51" s="262" t="s">
        <v>529</v>
      </c>
      <c r="F51" s="262" t="s">
        <v>529</v>
      </c>
      <c r="G51" s="262" t="s">
        <v>529</v>
      </c>
      <c r="H51" s="262" t="s">
        <v>529</v>
      </c>
      <c r="I51" s="262" t="s">
        <v>529</v>
      </c>
      <c r="J51" s="262" t="s">
        <v>529</v>
      </c>
      <c r="K51" s="262" t="s">
        <v>529</v>
      </c>
      <c r="L51" s="262" t="s">
        <v>529</v>
      </c>
      <c r="M51" s="262" t="s">
        <v>529</v>
      </c>
      <c r="N51" s="262" t="s">
        <v>529</v>
      </c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  <c r="AA51" s="227"/>
      <c r="AB51" s="227"/>
      <c r="AC51" s="227"/>
      <c r="AD51" s="227"/>
      <c r="AE51" s="227"/>
    </row>
    <row r="52" spans="2:31" ht="15" customHeight="1">
      <c r="B52" s="263" t="s">
        <v>530</v>
      </c>
      <c r="C52" s="263" t="s">
        <v>530</v>
      </c>
      <c r="D52" s="263" t="s">
        <v>530</v>
      </c>
      <c r="E52" s="263" t="s">
        <v>530</v>
      </c>
      <c r="F52" s="263" t="s">
        <v>530</v>
      </c>
      <c r="G52" s="263" t="s">
        <v>530</v>
      </c>
      <c r="H52" s="263" t="s">
        <v>530</v>
      </c>
      <c r="I52" s="263" t="s">
        <v>530</v>
      </c>
      <c r="J52" s="263" t="s">
        <v>530</v>
      </c>
      <c r="K52" s="263" t="s">
        <v>530</v>
      </c>
      <c r="L52" s="263" t="s">
        <v>530</v>
      </c>
      <c r="M52" s="263" t="s">
        <v>530</v>
      </c>
      <c r="N52" s="263" t="s">
        <v>530</v>
      </c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</row>
    <row r="53" spans="2:31" ht="15" customHeight="1">
      <c r="B53" s="227"/>
      <c r="C53" s="227"/>
      <c r="D53" s="227"/>
      <c r="E53" s="227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  <c r="AA53" s="227"/>
      <c r="AB53" s="227"/>
      <c r="AC53" s="227"/>
      <c r="AD53" s="227"/>
      <c r="AE53" s="227"/>
    </row>
    <row r="54" spans="2:31" ht="15" customHeight="1">
      <c r="B54" s="264" t="s">
        <v>531</v>
      </c>
      <c r="C54" s="264" t="s">
        <v>531</v>
      </c>
      <c r="D54" s="264" t="s">
        <v>531</v>
      </c>
      <c r="E54" s="264" t="s">
        <v>531</v>
      </c>
      <c r="F54" s="264" t="s">
        <v>531</v>
      </c>
      <c r="G54" s="264" t="s">
        <v>531</v>
      </c>
      <c r="H54" s="264" t="s">
        <v>532</v>
      </c>
      <c r="I54" s="264" t="s">
        <v>532</v>
      </c>
      <c r="J54" s="264" t="s">
        <v>532</v>
      </c>
      <c r="K54" s="264" t="s">
        <v>532</v>
      </c>
      <c r="L54" s="264" t="s">
        <v>532</v>
      </c>
      <c r="M54" s="264" t="s">
        <v>532</v>
      </c>
      <c r="N54" s="264" t="s">
        <v>532</v>
      </c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</row>
    <row r="55" spans="2:31" ht="15" customHeight="1">
      <c r="B55" s="244" t="s">
        <v>218</v>
      </c>
      <c r="C55" s="244" t="s">
        <v>15</v>
      </c>
      <c r="D55" s="244" t="s">
        <v>258</v>
      </c>
      <c r="E55" s="244" t="s">
        <v>533</v>
      </c>
      <c r="F55" s="244" t="s">
        <v>534</v>
      </c>
      <c r="G55" s="227"/>
      <c r="H55" s="244" t="s">
        <v>471</v>
      </c>
      <c r="I55" s="244" t="s">
        <v>225</v>
      </c>
      <c r="J55" s="292" t="s">
        <v>228</v>
      </c>
      <c r="K55" s="292"/>
      <c r="L55" s="292" t="s">
        <v>535</v>
      </c>
      <c r="M55" s="292"/>
      <c r="N55" s="244" t="s">
        <v>536</v>
      </c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  <c r="AA55" s="227"/>
      <c r="AB55" s="227"/>
      <c r="AC55" s="227"/>
      <c r="AD55" s="227"/>
      <c r="AE55" s="227"/>
    </row>
    <row r="56" spans="2:31" ht="15" customHeight="1">
      <c r="B56" s="228" t="s">
        <v>225</v>
      </c>
      <c r="C56" s="230">
        <f>Forecast!D10</f>
        <v>0.69243835616438354</v>
      </c>
      <c r="D56" s="230">
        <f>Forecast!E10</f>
        <v>0.67172602739726028</v>
      </c>
      <c r="E56" s="231">
        <f>Forecast!F10*100</f>
        <v>-2.0712328767123256</v>
      </c>
      <c r="F56" s="228" t="s">
        <v>537</v>
      </c>
      <c r="G56" s="227"/>
      <c r="H56" s="228" t="s">
        <v>15</v>
      </c>
      <c r="I56" s="230">
        <f>Forecast!D10</f>
        <v>0.69243835616438354</v>
      </c>
      <c r="J56" s="296">
        <f>Forecast!D12</f>
        <v>4044921.5799999996</v>
      </c>
      <c r="K56" s="296"/>
      <c r="L56" s="296">
        <f>Forecast!D16</f>
        <v>1279795.4142999998</v>
      </c>
      <c r="M56" s="296"/>
      <c r="N56" s="230">
        <f>Forecast!D17</f>
        <v>0.31639560594398469</v>
      </c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</row>
    <row r="57" spans="2:31" ht="15" customHeight="1">
      <c r="B57" s="228" t="s">
        <v>491</v>
      </c>
      <c r="C57" s="232">
        <f>Forecast!D12</f>
        <v>4044921.5799999996</v>
      </c>
      <c r="D57" s="232">
        <f>Forecast!E12</f>
        <v>3903659.3724999996</v>
      </c>
      <c r="E57" s="232">
        <f>Forecast!F12</f>
        <v>-141262.20750000002</v>
      </c>
      <c r="F57" s="228" t="s">
        <v>538</v>
      </c>
      <c r="G57" s="227"/>
      <c r="H57" s="245" t="s">
        <v>155</v>
      </c>
      <c r="I57" s="248">
        <f>Forecast!E10</f>
        <v>0.67172602739726028</v>
      </c>
      <c r="J57" s="299">
        <f>Forecast!E12</f>
        <v>3903659.3724999996</v>
      </c>
      <c r="K57" s="299"/>
      <c r="L57" s="299">
        <f>Forecast!E16</f>
        <v>1137547.1776000001</v>
      </c>
      <c r="M57" s="299"/>
      <c r="N57" s="248">
        <f>Forecast!E17</f>
        <v>0.29140533767204357</v>
      </c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  <c r="AA57" s="227"/>
      <c r="AB57" s="227"/>
      <c r="AC57" s="227"/>
      <c r="AD57" s="227"/>
      <c r="AE57" s="227"/>
    </row>
    <row r="58" spans="2:31" ht="15" customHeight="1">
      <c r="B58" s="228" t="s">
        <v>493</v>
      </c>
      <c r="C58" s="232">
        <f>Forecast!D16</f>
        <v>1279795.4142999998</v>
      </c>
      <c r="D58" s="232">
        <f>Forecast!E16</f>
        <v>1137547.1776000001</v>
      </c>
      <c r="E58" s="232">
        <f>Forecast!F16</f>
        <v>-142248.23669999978</v>
      </c>
      <c r="F58" s="228" t="s">
        <v>539</v>
      </c>
      <c r="G58" s="227"/>
      <c r="H58" s="228" t="s">
        <v>157</v>
      </c>
      <c r="I58" s="230">
        <f>Forecast!G10</f>
        <v>0.68082191780821921</v>
      </c>
      <c r="J58" s="296">
        <f>Forecast!G12</f>
        <v>3974207.8951500002</v>
      </c>
      <c r="K58" s="296"/>
      <c r="L58" s="296">
        <f>Forecast!G16</f>
        <v>1198073.9668440002</v>
      </c>
      <c r="M58" s="296"/>
      <c r="N58" s="230">
        <f>Forecast!G17</f>
        <v>0.30146232870859435</v>
      </c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  <c r="AA58" s="227"/>
      <c r="AB58" s="227"/>
      <c r="AC58" s="227"/>
      <c r="AD58" s="227"/>
      <c r="AE58" s="227"/>
    </row>
    <row r="59" spans="2:31" ht="15" customHeight="1">
      <c r="B59" s="228" t="s">
        <v>247</v>
      </c>
      <c r="C59" s="230">
        <f>Forecast!D17</f>
        <v>0.31639560594398469</v>
      </c>
      <c r="D59" s="230">
        <f>Forecast!E17</f>
        <v>0.29140533767204357</v>
      </c>
      <c r="E59" s="231">
        <f>Forecast!F17*100</f>
        <v>-2.4990268271941121</v>
      </c>
      <c r="F59" s="228" t="s">
        <v>540</v>
      </c>
      <c r="G59" s="227"/>
      <c r="H59" s="228" t="s">
        <v>159</v>
      </c>
      <c r="I59" s="230">
        <f>Forecast!I10</f>
        <v>0.65531506849315069</v>
      </c>
      <c r="J59" s="296">
        <f>Forecast!I12</f>
        <v>3777975.0359500004</v>
      </c>
      <c r="K59" s="296"/>
      <c r="L59" s="296">
        <f>Forecast!I16</f>
        <v>1031710.4770119999</v>
      </c>
      <c r="M59" s="296"/>
      <c r="N59" s="230">
        <f>Forecast!I17</f>
        <v>0.27308557287821478</v>
      </c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7"/>
      <c r="AE59" s="227"/>
    </row>
    <row r="60" spans="2:31" ht="15" customHeight="1">
      <c r="B60" s="227"/>
      <c r="C60" s="227"/>
      <c r="D60" s="227"/>
      <c r="E60" s="227"/>
      <c r="F60" s="227"/>
      <c r="G60" s="227"/>
      <c r="H60" s="227"/>
      <c r="I60" s="227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  <c r="AA60" s="227"/>
      <c r="AB60" s="227"/>
      <c r="AC60" s="227"/>
      <c r="AD60" s="227"/>
      <c r="AE60" s="227"/>
    </row>
    <row r="61" spans="2:31" ht="15" customHeight="1">
      <c r="B61" s="264" t="s">
        <v>541</v>
      </c>
      <c r="C61" s="264" t="s">
        <v>541</v>
      </c>
      <c r="D61" s="264" t="s">
        <v>541</v>
      </c>
      <c r="E61" s="264" t="s">
        <v>541</v>
      </c>
      <c r="F61" s="264" t="s">
        <v>541</v>
      </c>
      <c r="G61" s="264" t="s">
        <v>541</v>
      </c>
      <c r="H61" s="264" t="s">
        <v>542</v>
      </c>
      <c r="I61" s="264" t="s">
        <v>542</v>
      </c>
      <c r="J61" s="264" t="s">
        <v>542</v>
      </c>
      <c r="K61" s="264" t="s">
        <v>542</v>
      </c>
      <c r="L61" s="264" t="s">
        <v>542</v>
      </c>
      <c r="M61" s="264" t="s">
        <v>542</v>
      </c>
      <c r="N61" s="264" t="s">
        <v>542</v>
      </c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  <c r="AA61" s="227"/>
      <c r="AB61" s="227"/>
      <c r="AC61" s="227"/>
      <c r="AD61" s="227"/>
      <c r="AE61" s="227"/>
    </row>
    <row r="62" spans="2:31" ht="15" customHeight="1">
      <c r="B62" s="227"/>
      <c r="C62" s="227"/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  <c r="AA62" s="227"/>
      <c r="AB62" s="227"/>
      <c r="AC62" s="227"/>
      <c r="AD62" s="227"/>
      <c r="AE62" s="227"/>
    </row>
    <row r="63" spans="2:31" ht="15" customHeight="1">
      <c r="B63" s="227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  <c r="AA63" s="227"/>
      <c r="AB63" s="227"/>
      <c r="AC63" s="227"/>
      <c r="AD63" s="227"/>
      <c r="AE63" s="227"/>
    </row>
    <row r="64" spans="2:31" ht="15" customHeight="1"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  <c r="AA64" s="227"/>
      <c r="AB64" s="227"/>
      <c r="AC64" s="227"/>
      <c r="AD64" s="227"/>
      <c r="AE64" s="227"/>
    </row>
    <row r="65" spans="2:31" ht="15" customHeight="1">
      <c r="B65" s="227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  <c r="AA65" s="227"/>
      <c r="AB65" s="227"/>
      <c r="AC65" s="227"/>
      <c r="AD65" s="227"/>
      <c r="AE65" s="227"/>
    </row>
    <row r="66" spans="2:31" ht="15" customHeight="1">
      <c r="B66" s="227"/>
      <c r="C66" s="227"/>
      <c r="D66" s="227"/>
      <c r="E66" s="227"/>
      <c r="F66" s="227"/>
      <c r="G66" s="227"/>
      <c r="H66" s="227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7"/>
    </row>
    <row r="67" spans="2:31" ht="15" customHeight="1">
      <c r="B67" s="227"/>
      <c r="C67" s="227"/>
      <c r="D67" s="227"/>
      <c r="E67" s="227"/>
      <c r="F67" s="227"/>
      <c r="G67" s="227"/>
      <c r="H67" s="227"/>
      <c r="I67" s="227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  <c r="AA67" s="227"/>
      <c r="AB67" s="227"/>
      <c r="AC67" s="227"/>
      <c r="AD67" s="227"/>
      <c r="AE67" s="227"/>
    </row>
    <row r="68" spans="2:31" ht="15" customHeight="1">
      <c r="B68" s="227"/>
      <c r="C68" s="227"/>
      <c r="D68" s="227"/>
      <c r="E68" s="227"/>
      <c r="F68" s="227"/>
      <c r="G68" s="227"/>
      <c r="H68" s="227"/>
      <c r="I68" s="227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  <c r="AA68" s="227"/>
      <c r="AB68" s="227"/>
      <c r="AC68" s="227"/>
      <c r="AD68" s="227"/>
      <c r="AE68" s="227"/>
    </row>
    <row r="69" spans="2:31" ht="15" customHeight="1">
      <c r="B69" s="227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  <c r="AA69" s="227"/>
      <c r="AB69" s="227"/>
      <c r="AC69" s="227"/>
      <c r="AD69" s="227"/>
      <c r="AE69" s="227"/>
    </row>
    <row r="70" spans="2:31" ht="15" customHeight="1">
      <c r="B70" s="227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  <c r="AA70" s="227"/>
      <c r="AB70" s="227"/>
      <c r="AC70" s="227"/>
      <c r="AD70" s="227"/>
      <c r="AE70" s="227"/>
    </row>
    <row r="71" spans="2:31" ht="15" customHeight="1"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  <c r="AA71" s="227"/>
      <c r="AB71" s="227"/>
      <c r="AC71" s="227"/>
      <c r="AD71" s="227"/>
      <c r="AE71" s="227"/>
    </row>
    <row r="72" spans="2:31" ht="15" customHeight="1">
      <c r="B72" s="227"/>
      <c r="C72" s="227"/>
      <c r="D72" s="227"/>
      <c r="E72" s="227"/>
      <c r="F72" s="227"/>
      <c r="G72" s="227"/>
      <c r="H72" s="227"/>
      <c r="I72" s="227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  <c r="AA72" s="227"/>
      <c r="AB72" s="227"/>
      <c r="AC72" s="227"/>
      <c r="AD72" s="227"/>
      <c r="AE72" s="227"/>
    </row>
    <row r="73" spans="2:31" ht="15" customHeight="1"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  <c r="AA73" s="227"/>
      <c r="AB73" s="227"/>
      <c r="AC73" s="227"/>
      <c r="AD73" s="227"/>
      <c r="AE73" s="227"/>
    </row>
    <row r="74" spans="2:31" ht="15" customHeight="1">
      <c r="B74" s="227"/>
      <c r="C74" s="227"/>
      <c r="D74" s="227"/>
      <c r="E74" s="227"/>
      <c r="F74" s="227"/>
      <c r="G74" s="227"/>
      <c r="H74" s="227"/>
      <c r="I74" s="227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  <c r="AA74" s="227"/>
      <c r="AB74" s="227"/>
      <c r="AC74" s="227"/>
      <c r="AD74" s="227"/>
      <c r="AE74" s="227"/>
    </row>
    <row r="75" spans="2:31" ht="15" customHeight="1"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  <c r="AA75" s="227"/>
      <c r="AB75" s="227"/>
      <c r="AC75" s="227"/>
      <c r="AD75" s="227"/>
      <c r="AE75" s="227"/>
    </row>
    <row r="76" spans="2:31" ht="15" customHeight="1">
      <c r="B76" s="227"/>
      <c r="C76" s="227"/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</row>
    <row r="77" spans="2:31" ht="15" customHeight="1">
      <c r="B77" s="227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  <c r="AA77" s="227"/>
      <c r="AB77" s="227"/>
      <c r="AC77" s="227"/>
      <c r="AD77" s="227"/>
      <c r="AE77" s="227"/>
    </row>
    <row r="78" spans="2:31" ht="15" customHeight="1">
      <c r="B78" s="264" t="s">
        <v>543</v>
      </c>
      <c r="C78" s="264" t="s">
        <v>543</v>
      </c>
      <c r="D78" s="264" t="s">
        <v>543</v>
      </c>
      <c r="E78" s="264" t="s">
        <v>543</v>
      </c>
      <c r="F78" s="264" t="s">
        <v>543</v>
      </c>
      <c r="G78" s="264" t="s">
        <v>543</v>
      </c>
      <c r="H78" s="264" t="s">
        <v>543</v>
      </c>
      <c r="I78" s="264" t="s">
        <v>544</v>
      </c>
      <c r="J78" s="264" t="s">
        <v>544</v>
      </c>
      <c r="K78" s="264" t="s">
        <v>544</v>
      </c>
      <c r="L78" s="264" t="s">
        <v>544</v>
      </c>
      <c r="M78" s="264" t="s">
        <v>544</v>
      </c>
      <c r="N78" s="264" t="s">
        <v>544</v>
      </c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  <c r="AA78" s="227"/>
      <c r="AB78" s="227"/>
      <c r="AC78" s="227"/>
      <c r="AD78" s="227"/>
      <c r="AE78" s="227"/>
    </row>
    <row r="79" spans="2:31" ht="15" customHeight="1">
      <c r="B79" s="265" t="s">
        <v>545</v>
      </c>
      <c r="C79" s="266" t="s">
        <v>545</v>
      </c>
      <c r="D79" s="266" t="s">
        <v>545</v>
      </c>
      <c r="E79" s="266" t="s">
        <v>545</v>
      </c>
      <c r="F79" s="266" t="s">
        <v>545</v>
      </c>
      <c r="G79" s="266" t="s">
        <v>545</v>
      </c>
      <c r="H79" s="267" t="s">
        <v>545</v>
      </c>
      <c r="I79" s="300" t="s">
        <v>546</v>
      </c>
      <c r="J79" s="301" t="s">
        <v>546</v>
      </c>
      <c r="K79" s="301" t="s">
        <v>546</v>
      </c>
      <c r="L79" s="301" t="s">
        <v>546</v>
      </c>
      <c r="M79" s="301" t="s">
        <v>546</v>
      </c>
      <c r="N79" s="302" t="s">
        <v>546</v>
      </c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  <c r="AA79" s="227"/>
      <c r="AB79" s="227"/>
      <c r="AC79" s="227"/>
      <c r="AD79" s="227"/>
      <c r="AE79" s="227"/>
    </row>
    <row r="80" spans="2:31" ht="15" customHeight="1">
      <c r="B80" s="268" t="s">
        <v>545</v>
      </c>
      <c r="C80" s="269" t="s">
        <v>545</v>
      </c>
      <c r="D80" s="269" t="s">
        <v>545</v>
      </c>
      <c r="E80" s="269" t="s">
        <v>545</v>
      </c>
      <c r="F80" s="269" t="s">
        <v>545</v>
      </c>
      <c r="G80" s="269" t="s">
        <v>545</v>
      </c>
      <c r="H80" s="270" t="s">
        <v>545</v>
      </c>
      <c r="I80" s="303" t="s">
        <v>546</v>
      </c>
      <c r="J80" s="304" t="s">
        <v>546</v>
      </c>
      <c r="K80" s="304" t="s">
        <v>546</v>
      </c>
      <c r="L80" s="304" t="s">
        <v>546</v>
      </c>
      <c r="M80" s="304" t="s">
        <v>546</v>
      </c>
      <c r="N80" s="305" t="s">
        <v>546</v>
      </c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  <c r="AA80" s="227"/>
      <c r="AB80" s="227"/>
      <c r="AC80" s="227"/>
      <c r="AD80" s="227"/>
      <c r="AE80" s="227"/>
    </row>
    <row r="81" spans="2:31" ht="15" customHeight="1">
      <c r="B81" s="271" t="s">
        <v>545</v>
      </c>
      <c r="C81" s="272" t="s">
        <v>545</v>
      </c>
      <c r="D81" s="272" t="s">
        <v>545</v>
      </c>
      <c r="E81" s="272" t="s">
        <v>545</v>
      </c>
      <c r="F81" s="272" t="s">
        <v>545</v>
      </c>
      <c r="G81" s="272" t="s">
        <v>545</v>
      </c>
      <c r="H81" s="273" t="s">
        <v>545</v>
      </c>
      <c r="I81" s="306" t="s">
        <v>546</v>
      </c>
      <c r="J81" s="307" t="s">
        <v>546</v>
      </c>
      <c r="K81" s="307" t="s">
        <v>546</v>
      </c>
      <c r="L81" s="307" t="s">
        <v>546</v>
      </c>
      <c r="M81" s="307" t="s">
        <v>546</v>
      </c>
      <c r="N81" s="308" t="s">
        <v>546</v>
      </c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  <c r="AA81" s="227"/>
      <c r="AB81" s="227"/>
      <c r="AC81" s="227"/>
      <c r="AD81" s="227"/>
      <c r="AE81" s="227"/>
    </row>
    <row r="82" spans="2:31" ht="15" customHeight="1">
      <c r="B82" s="274" t="s">
        <v>547</v>
      </c>
      <c r="C82" s="275" t="s">
        <v>547</v>
      </c>
      <c r="D82" s="275" t="s">
        <v>547</v>
      </c>
      <c r="E82" s="275" t="s">
        <v>547</v>
      </c>
      <c r="F82" s="275" t="s">
        <v>547</v>
      </c>
      <c r="G82" s="275" t="s">
        <v>547</v>
      </c>
      <c r="H82" s="276" t="s">
        <v>547</v>
      </c>
      <c r="I82" s="300" t="s">
        <v>548</v>
      </c>
      <c r="J82" s="301" t="s">
        <v>548</v>
      </c>
      <c r="K82" s="301" t="s">
        <v>548</v>
      </c>
      <c r="L82" s="301" t="s">
        <v>548</v>
      </c>
      <c r="M82" s="301" t="s">
        <v>548</v>
      </c>
      <c r="N82" s="302" t="s">
        <v>548</v>
      </c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  <c r="AA82" s="227"/>
      <c r="AB82" s="227"/>
      <c r="AC82" s="227"/>
      <c r="AD82" s="227"/>
      <c r="AE82" s="227"/>
    </row>
    <row r="83" spans="2:31" ht="15" customHeight="1">
      <c r="B83" s="277" t="s">
        <v>547</v>
      </c>
      <c r="C83" s="278" t="s">
        <v>547</v>
      </c>
      <c r="D83" s="278" t="s">
        <v>547</v>
      </c>
      <c r="E83" s="278" t="s">
        <v>547</v>
      </c>
      <c r="F83" s="278" t="s">
        <v>547</v>
      </c>
      <c r="G83" s="278" t="s">
        <v>547</v>
      </c>
      <c r="H83" s="279" t="s">
        <v>547</v>
      </c>
      <c r="I83" s="303" t="s">
        <v>548</v>
      </c>
      <c r="J83" s="304" t="s">
        <v>548</v>
      </c>
      <c r="K83" s="304" t="s">
        <v>548</v>
      </c>
      <c r="L83" s="304" t="s">
        <v>548</v>
      </c>
      <c r="M83" s="304" t="s">
        <v>548</v>
      </c>
      <c r="N83" s="305" t="s">
        <v>548</v>
      </c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  <c r="AA83" s="227"/>
      <c r="AB83" s="227"/>
      <c r="AC83" s="227"/>
      <c r="AD83" s="227"/>
      <c r="AE83" s="227"/>
    </row>
    <row r="84" spans="2:31" ht="15" customHeight="1">
      <c r="B84" s="280" t="s">
        <v>547</v>
      </c>
      <c r="C84" s="281" t="s">
        <v>547</v>
      </c>
      <c r="D84" s="281" t="s">
        <v>547</v>
      </c>
      <c r="E84" s="281" t="s">
        <v>547</v>
      </c>
      <c r="F84" s="281" t="s">
        <v>547</v>
      </c>
      <c r="G84" s="281" t="s">
        <v>547</v>
      </c>
      <c r="H84" s="282" t="s">
        <v>547</v>
      </c>
      <c r="I84" s="306" t="s">
        <v>548</v>
      </c>
      <c r="J84" s="307" t="s">
        <v>548</v>
      </c>
      <c r="K84" s="307" t="s">
        <v>548</v>
      </c>
      <c r="L84" s="307" t="s">
        <v>548</v>
      </c>
      <c r="M84" s="307" t="s">
        <v>548</v>
      </c>
      <c r="N84" s="308" t="s">
        <v>548</v>
      </c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  <c r="AA84" s="227"/>
      <c r="AB84" s="227"/>
      <c r="AC84" s="227"/>
      <c r="AD84" s="227"/>
      <c r="AE84" s="227"/>
    </row>
    <row r="85" spans="2:31" ht="15" customHeight="1">
      <c r="B85" s="283" t="s">
        <v>549</v>
      </c>
      <c r="C85" s="284" t="s">
        <v>549</v>
      </c>
      <c r="D85" s="284" t="s">
        <v>549</v>
      </c>
      <c r="E85" s="284" t="s">
        <v>549</v>
      </c>
      <c r="F85" s="284" t="s">
        <v>549</v>
      </c>
      <c r="G85" s="284" t="s">
        <v>549</v>
      </c>
      <c r="H85" s="285" t="s">
        <v>549</v>
      </c>
      <c r="I85" s="309" t="s">
        <v>550</v>
      </c>
      <c r="J85" s="310" t="s">
        <v>550</v>
      </c>
      <c r="K85" s="310" t="s">
        <v>550</v>
      </c>
      <c r="L85" s="310" t="s">
        <v>550</v>
      </c>
      <c r="M85" s="310" t="s">
        <v>550</v>
      </c>
      <c r="N85" s="311" t="s">
        <v>550</v>
      </c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  <c r="AA85" s="227"/>
      <c r="AB85" s="227"/>
      <c r="AC85" s="227"/>
      <c r="AD85" s="227"/>
      <c r="AE85" s="227"/>
    </row>
    <row r="86" spans="2:31" ht="15" customHeight="1">
      <c r="B86" s="286" t="s">
        <v>549</v>
      </c>
      <c r="C86" s="287" t="s">
        <v>549</v>
      </c>
      <c r="D86" s="287" t="s">
        <v>549</v>
      </c>
      <c r="E86" s="287" t="s">
        <v>549</v>
      </c>
      <c r="F86" s="287" t="s">
        <v>549</v>
      </c>
      <c r="G86" s="287" t="s">
        <v>549</v>
      </c>
      <c r="H86" s="288" t="s">
        <v>549</v>
      </c>
      <c r="I86" s="312" t="s">
        <v>550</v>
      </c>
      <c r="J86" s="313" t="s">
        <v>550</v>
      </c>
      <c r="K86" s="313" t="s">
        <v>550</v>
      </c>
      <c r="L86" s="313" t="s">
        <v>550</v>
      </c>
      <c r="M86" s="313" t="s">
        <v>550</v>
      </c>
      <c r="N86" s="314" t="s">
        <v>550</v>
      </c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  <c r="AA86" s="227"/>
      <c r="AB86" s="227"/>
      <c r="AC86" s="227"/>
      <c r="AD86" s="227"/>
      <c r="AE86" s="227"/>
    </row>
    <row r="87" spans="2:31" ht="15" customHeight="1">
      <c r="B87" s="289" t="s">
        <v>549</v>
      </c>
      <c r="C87" s="290" t="s">
        <v>549</v>
      </c>
      <c r="D87" s="290" t="s">
        <v>549</v>
      </c>
      <c r="E87" s="290" t="s">
        <v>549</v>
      </c>
      <c r="F87" s="290" t="s">
        <v>549</v>
      </c>
      <c r="G87" s="290" t="s">
        <v>549</v>
      </c>
      <c r="H87" s="291" t="s">
        <v>549</v>
      </c>
      <c r="I87" s="315" t="s">
        <v>550</v>
      </c>
      <c r="J87" s="316" t="s">
        <v>550</v>
      </c>
      <c r="K87" s="316" t="s">
        <v>550</v>
      </c>
      <c r="L87" s="316" t="s">
        <v>550</v>
      </c>
      <c r="M87" s="316" t="s">
        <v>550</v>
      </c>
      <c r="N87" s="317" t="s">
        <v>550</v>
      </c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  <c r="AA87" s="227"/>
      <c r="AB87" s="227"/>
      <c r="AC87" s="227"/>
      <c r="AD87" s="227"/>
      <c r="AE87" s="227"/>
    </row>
    <row r="88" spans="2:31" ht="15" customHeight="1">
      <c r="B88" s="227"/>
      <c r="C88" s="227"/>
      <c r="D88" s="227"/>
      <c r="E88" s="227"/>
      <c r="F88" s="227"/>
      <c r="G88" s="227"/>
      <c r="H88" s="227"/>
      <c r="I88" s="227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  <c r="AA88" s="227"/>
      <c r="AB88" s="227"/>
      <c r="AC88" s="227"/>
      <c r="AD88" s="227"/>
      <c r="AE88" s="227"/>
    </row>
    <row r="89" spans="2:31" ht="15" customHeight="1">
      <c r="B89" s="264" t="s">
        <v>551</v>
      </c>
      <c r="C89" s="264" t="s">
        <v>551</v>
      </c>
      <c r="D89" s="264" t="s">
        <v>551</v>
      </c>
      <c r="E89" s="264" t="s">
        <v>551</v>
      </c>
      <c r="F89" s="264" t="s">
        <v>551</v>
      </c>
      <c r="G89" s="264" t="s">
        <v>551</v>
      </c>
      <c r="H89" s="264" t="s">
        <v>551</v>
      </c>
      <c r="I89" s="264" t="s">
        <v>551</v>
      </c>
      <c r="J89" s="264" t="s">
        <v>551</v>
      </c>
      <c r="K89" s="264" t="s">
        <v>551</v>
      </c>
      <c r="L89" s="264" t="s">
        <v>551</v>
      </c>
      <c r="M89" s="264" t="s">
        <v>551</v>
      </c>
      <c r="N89" s="264" t="s">
        <v>551</v>
      </c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  <c r="AA89" s="227"/>
      <c r="AB89" s="227"/>
      <c r="AC89" s="227"/>
      <c r="AD89" s="227"/>
      <c r="AE89" s="227"/>
    </row>
    <row r="90" spans="2:31" ht="26" customHeight="1">
      <c r="B90" s="244" t="s">
        <v>552</v>
      </c>
      <c r="C90" s="292" t="s">
        <v>553</v>
      </c>
      <c r="D90" s="292"/>
      <c r="E90" s="292"/>
      <c r="F90" s="292"/>
      <c r="G90" s="292"/>
      <c r="H90" s="292"/>
      <c r="I90" s="292"/>
      <c r="J90" s="292" t="s">
        <v>554</v>
      </c>
      <c r="K90" s="292"/>
      <c r="L90" s="292" t="s">
        <v>459</v>
      </c>
      <c r="M90" s="292"/>
      <c r="N90" s="244" t="s">
        <v>555</v>
      </c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227"/>
      <c r="AB90" s="227"/>
      <c r="AC90" s="227"/>
      <c r="AD90" s="227"/>
      <c r="AE90" s="227"/>
    </row>
    <row r="91" spans="2:31" ht="24" customHeight="1">
      <c r="B91" s="228">
        <v>1</v>
      </c>
      <c r="C91" s="318" t="s">
        <v>556</v>
      </c>
      <c r="D91" s="318"/>
      <c r="E91" s="318"/>
      <c r="F91" s="318"/>
      <c r="G91" s="318"/>
      <c r="H91" s="318"/>
      <c r="I91" s="318"/>
      <c r="J91" s="295" t="s">
        <v>557</v>
      </c>
      <c r="K91" s="295"/>
      <c r="L91" s="295" t="s">
        <v>558</v>
      </c>
      <c r="M91" s="295"/>
      <c r="N91" s="239" t="s">
        <v>559</v>
      </c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  <c r="AA91" s="227"/>
      <c r="AB91" s="227"/>
      <c r="AC91" s="227"/>
      <c r="AD91" s="227"/>
      <c r="AE91" s="227"/>
    </row>
    <row r="92" spans="2:31" ht="24" customHeight="1">
      <c r="B92" s="228">
        <v>2</v>
      </c>
      <c r="C92" s="318" t="s">
        <v>560</v>
      </c>
      <c r="D92" s="318"/>
      <c r="E92" s="318"/>
      <c r="F92" s="318"/>
      <c r="G92" s="318"/>
      <c r="H92" s="318"/>
      <c r="I92" s="318"/>
      <c r="J92" s="295" t="s">
        <v>561</v>
      </c>
      <c r="K92" s="295"/>
      <c r="L92" s="295" t="s">
        <v>562</v>
      </c>
      <c r="M92" s="295"/>
      <c r="N92" s="239" t="s">
        <v>563</v>
      </c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  <c r="AA92" s="227"/>
      <c r="AB92" s="227"/>
      <c r="AC92" s="227"/>
      <c r="AD92" s="227"/>
      <c r="AE92" s="227"/>
    </row>
    <row r="93" spans="2:31" ht="24" customHeight="1">
      <c r="B93" s="228">
        <v>3</v>
      </c>
      <c r="C93" s="318" t="s">
        <v>564</v>
      </c>
      <c r="D93" s="318"/>
      <c r="E93" s="318"/>
      <c r="F93" s="318"/>
      <c r="G93" s="318"/>
      <c r="H93" s="318"/>
      <c r="I93" s="318"/>
      <c r="J93" s="295" t="s">
        <v>565</v>
      </c>
      <c r="K93" s="295"/>
      <c r="L93" s="295" t="s">
        <v>566</v>
      </c>
      <c r="M93" s="295"/>
      <c r="N93" s="239" t="s">
        <v>567</v>
      </c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  <c r="AA93" s="227"/>
      <c r="AB93" s="227"/>
      <c r="AC93" s="227"/>
      <c r="AD93" s="227"/>
      <c r="AE93" s="227"/>
    </row>
    <row r="94" spans="2:31" ht="24" customHeight="1">
      <c r="B94" s="228">
        <v>4</v>
      </c>
      <c r="C94" s="318" t="s">
        <v>568</v>
      </c>
      <c r="D94" s="318"/>
      <c r="E94" s="318"/>
      <c r="F94" s="318"/>
      <c r="G94" s="318"/>
      <c r="H94" s="318"/>
      <c r="I94" s="318"/>
      <c r="J94" s="295" t="s">
        <v>569</v>
      </c>
      <c r="K94" s="295"/>
      <c r="L94" s="295" t="s">
        <v>570</v>
      </c>
      <c r="M94" s="295"/>
      <c r="N94" s="239" t="s">
        <v>571</v>
      </c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  <c r="AA94" s="227"/>
      <c r="AB94" s="227"/>
      <c r="AC94" s="227"/>
      <c r="AD94" s="227"/>
      <c r="AE94" s="227"/>
    </row>
    <row r="95" spans="2:31" ht="15" customHeight="1">
      <c r="B95" s="227"/>
      <c r="C95" s="227"/>
      <c r="D95" s="227"/>
      <c r="E95" s="227"/>
      <c r="F95" s="227"/>
      <c r="G95" s="227"/>
      <c r="H95" s="227"/>
      <c r="I95" s="227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  <c r="AA95" s="227"/>
      <c r="AB95" s="227"/>
      <c r="AC95" s="227"/>
      <c r="AD95" s="227"/>
      <c r="AE95" s="227"/>
    </row>
    <row r="96" spans="2:31" ht="15" customHeight="1">
      <c r="B96" s="319" t="s">
        <v>572</v>
      </c>
      <c r="C96" s="319" t="s">
        <v>572</v>
      </c>
      <c r="D96" s="319" t="s">
        <v>572</v>
      </c>
      <c r="E96" s="319" t="s">
        <v>572</v>
      </c>
      <c r="F96" s="319" t="s">
        <v>572</v>
      </c>
      <c r="G96" s="319" t="s">
        <v>572</v>
      </c>
      <c r="H96" s="319" t="s">
        <v>572</v>
      </c>
      <c r="I96" s="319" t="s">
        <v>572</v>
      </c>
      <c r="J96" s="319" t="s">
        <v>572</v>
      </c>
      <c r="K96" s="319" t="s">
        <v>572</v>
      </c>
      <c r="L96" s="319" t="s">
        <v>572</v>
      </c>
      <c r="M96" s="319" t="s">
        <v>572</v>
      </c>
      <c r="N96" s="319" t="s">
        <v>572</v>
      </c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  <c r="AA96" s="227"/>
      <c r="AB96" s="227"/>
      <c r="AC96" s="227"/>
      <c r="AD96" s="227"/>
      <c r="AE96" s="227"/>
    </row>
    <row r="97" spans="2:31" ht="15" customHeight="1"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</row>
    <row r="98" spans="2:31" ht="15" customHeight="1"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  <c r="AA98" s="227"/>
      <c r="AB98" s="227"/>
      <c r="AC98" s="227"/>
      <c r="AD98" s="227"/>
      <c r="AE98" s="227"/>
    </row>
    <row r="99" spans="2:31" ht="15" customHeight="1"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  <c r="AA99" s="227"/>
      <c r="AB99" s="227"/>
      <c r="AC99" s="227"/>
      <c r="AD99" s="227"/>
      <c r="AE99" s="227"/>
    </row>
    <row r="100" spans="2:31" ht="15" customHeight="1"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  <c r="AA100" s="227"/>
      <c r="AB100" s="227"/>
      <c r="AC100" s="227"/>
      <c r="AD100" s="227"/>
      <c r="AE100" s="227"/>
    </row>
    <row r="101" spans="2:31" ht="15" customHeight="1"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  <c r="AA101" s="227"/>
      <c r="AB101" s="227"/>
      <c r="AC101" s="227"/>
      <c r="AD101" s="227"/>
      <c r="AE101" s="227"/>
    </row>
    <row r="102" spans="2:31" ht="15" customHeight="1"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  <c r="AA102" s="227"/>
      <c r="AB102" s="227"/>
      <c r="AC102" s="227"/>
      <c r="AD102" s="227"/>
      <c r="AE102" s="227"/>
    </row>
    <row r="103" spans="2:31" ht="15" customHeight="1"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  <c r="AA103" s="227"/>
      <c r="AB103" s="227"/>
      <c r="AC103" s="227"/>
      <c r="AD103" s="227"/>
      <c r="AE103" s="227"/>
    </row>
    <row r="104" spans="2:31" ht="15" customHeight="1"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  <c r="AA104" s="227"/>
      <c r="AB104" s="227"/>
      <c r="AC104" s="227"/>
      <c r="AD104" s="227"/>
      <c r="AE104" s="227"/>
    </row>
    <row r="105" spans="2:31" ht="15" customHeight="1"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  <c r="AA105" s="227"/>
      <c r="AB105" s="227"/>
      <c r="AC105" s="227"/>
      <c r="AD105" s="227"/>
      <c r="AE105" s="227"/>
    </row>
    <row r="106" spans="2:31" ht="15" customHeight="1"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  <c r="AA106" s="227"/>
      <c r="AB106" s="227"/>
      <c r="AC106" s="227"/>
      <c r="AD106" s="227"/>
      <c r="AE106" s="227"/>
    </row>
    <row r="107" spans="2:31" ht="15" customHeight="1"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  <c r="AA107" s="227"/>
      <c r="AB107" s="227"/>
      <c r="AC107" s="227"/>
      <c r="AD107" s="227"/>
      <c r="AE107" s="227"/>
    </row>
    <row r="108" spans="2:31" ht="15" customHeight="1"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  <c r="AA108" s="227"/>
      <c r="AB108" s="227"/>
      <c r="AC108" s="227"/>
      <c r="AD108" s="227"/>
      <c r="AE108" s="227"/>
    </row>
    <row r="109" spans="2:31" ht="15" customHeight="1"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227"/>
      <c r="AB109" s="227"/>
      <c r="AC109" s="227"/>
      <c r="AD109" s="227"/>
      <c r="AE109" s="227"/>
    </row>
    <row r="110" spans="2:31" ht="15" customHeight="1"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  <c r="AA110" s="227"/>
      <c r="AB110" s="227"/>
      <c r="AC110" s="227"/>
      <c r="AD110" s="227"/>
      <c r="AE110" s="227"/>
    </row>
  </sheetData>
  <mergeCells count="80">
    <mergeCell ref="C94:I94"/>
    <mergeCell ref="J94:K94"/>
    <mergeCell ref="L94:M94"/>
    <mergeCell ref="B96:N96"/>
    <mergeCell ref="C92:I92"/>
    <mergeCell ref="J92:K92"/>
    <mergeCell ref="L92:M92"/>
    <mergeCell ref="C93:I93"/>
    <mergeCell ref="J93:K93"/>
    <mergeCell ref="L93:M93"/>
    <mergeCell ref="B89:N89"/>
    <mergeCell ref="C90:I90"/>
    <mergeCell ref="J90:K90"/>
    <mergeCell ref="L90:M90"/>
    <mergeCell ref="C91:I91"/>
    <mergeCell ref="J91:K91"/>
    <mergeCell ref="L91:M91"/>
    <mergeCell ref="B79:H81"/>
    <mergeCell ref="B82:H84"/>
    <mergeCell ref="B85:H87"/>
    <mergeCell ref="I78:N78"/>
    <mergeCell ref="I79:N81"/>
    <mergeCell ref="I82:N84"/>
    <mergeCell ref="I85:N87"/>
    <mergeCell ref="J59:K59"/>
    <mergeCell ref="L59:M59"/>
    <mergeCell ref="B61:G61"/>
    <mergeCell ref="H61:N61"/>
    <mergeCell ref="B78:H78"/>
    <mergeCell ref="J56:K56"/>
    <mergeCell ref="L56:M56"/>
    <mergeCell ref="J57:K57"/>
    <mergeCell ref="L57:M57"/>
    <mergeCell ref="J58:K58"/>
    <mergeCell ref="L58:M58"/>
    <mergeCell ref="B50:N51"/>
    <mergeCell ref="B52:N52"/>
    <mergeCell ref="B54:G54"/>
    <mergeCell ref="H54:N54"/>
    <mergeCell ref="J55:K55"/>
    <mergeCell ref="L55:M55"/>
    <mergeCell ref="G46:K46"/>
    <mergeCell ref="L46:M46"/>
    <mergeCell ref="G47:K47"/>
    <mergeCell ref="L47:M47"/>
    <mergeCell ref="G48:K48"/>
    <mergeCell ref="L48:M48"/>
    <mergeCell ref="G43:K43"/>
    <mergeCell ref="L43:M43"/>
    <mergeCell ref="G44:K44"/>
    <mergeCell ref="L44:M44"/>
    <mergeCell ref="G45:K45"/>
    <mergeCell ref="L45:M45"/>
    <mergeCell ref="G40:K40"/>
    <mergeCell ref="L40:M40"/>
    <mergeCell ref="G41:K41"/>
    <mergeCell ref="L41:M41"/>
    <mergeCell ref="G42:K42"/>
    <mergeCell ref="L42:M42"/>
    <mergeCell ref="G37:K37"/>
    <mergeCell ref="L37:M37"/>
    <mergeCell ref="G38:K38"/>
    <mergeCell ref="L38:M38"/>
    <mergeCell ref="G39:K39"/>
    <mergeCell ref="L39:M39"/>
    <mergeCell ref="G34:N34"/>
    <mergeCell ref="G35:K35"/>
    <mergeCell ref="L35:M35"/>
    <mergeCell ref="G36:K36"/>
    <mergeCell ref="L36:M36"/>
    <mergeCell ref="B19:F21"/>
    <mergeCell ref="B22:F24"/>
    <mergeCell ref="B25:F27"/>
    <mergeCell ref="B29:F29"/>
    <mergeCell ref="G15:N15"/>
    <mergeCell ref="B2:N3"/>
    <mergeCell ref="B4:N4"/>
    <mergeCell ref="B6:N6"/>
    <mergeCell ref="B15:F15"/>
    <mergeCell ref="B16:F18"/>
  </mergeCells>
  <conditionalFormatting sqref="E9:E12">
    <cfRule type="cellIs" dxfId="7" priority="1" operator="lessThan">
      <formula>0</formula>
    </cfRule>
  </conditionalFormatting>
  <printOptions horizontalCentered="1"/>
  <pageMargins left="0.25" right="0.25" top="0.3" bottom="0.35" header="0.1" footer="0.15"/>
  <pageSetup scale="71" fitToHeight="2" orientation="landscape" r:id="rId1"/>
  <headerFooter>
    <oddFooter>&amp;CPalmetto Stay | Synthetic portfolio case | Page &amp;P of &amp;N</oddFooter>
  </headerFooter>
  <rowBreaks count="1" manualBreakCount="1">
    <brk id="49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95959"/>
  </sheetPr>
  <dimension ref="C2:U22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RowHeight="13.5"/>
  <cols>
    <col min="3" max="3" width="42" customWidth="1"/>
    <col min="4" max="4" width="27" customWidth="1"/>
    <col min="5" max="5" width="16" customWidth="1"/>
    <col min="6" max="6" width="13" customWidth="1"/>
    <col min="7" max="7" width="44" customWidth="1"/>
    <col min="8" max="9" width="3" customWidth="1"/>
    <col min="10" max="11" width="22" customWidth="1"/>
    <col min="12" max="12" width="12" customWidth="1"/>
  </cols>
  <sheetData>
    <row r="2" spans="3:12" ht="25.05" customHeight="1">
      <c r="C2" s="3" t="s">
        <v>894</v>
      </c>
      <c r="D2" s="3"/>
      <c r="E2" s="3"/>
      <c r="F2" s="3"/>
      <c r="G2" s="3"/>
      <c r="H2" s="3"/>
      <c r="I2" s="3"/>
      <c r="J2" s="3"/>
      <c r="K2" s="3"/>
      <c r="L2" s="3"/>
    </row>
    <row r="3" spans="3:12">
      <c r="C3" s="16" t="s">
        <v>573</v>
      </c>
      <c r="D3" s="16"/>
      <c r="E3" s="16"/>
      <c r="F3" s="16"/>
      <c r="G3" s="16"/>
      <c r="H3" s="16"/>
      <c r="I3" s="16"/>
      <c r="J3" s="16"/>
      <c r="K3" s="16"/>
      <c r="L3" s="16"/>
    </row>
    <row r="4" spans="3:12" ht="13.9">
      <c r="C4" s="81" t="s">
        <v>895</v>
      </c>
      <c r="D4" s="82" t="str">
        <f>IF(AND(COUNTIF(F8:F223,"PASS")=179,COUNTIF(F8:F223,"FAIL")=0),"PASS","FAIL")</f>
        <v>PASS</v>
      </c>
      <c r="E4" s="2"/>
      <c r="F4" s="2"/>
      <c r="G4" s="2"/>
      <c r="H4" s="2"/>
      <c r="I4" s="2"/>
      <c r="J4" s="2"/>
      <c r="K4" s="2"/>
      <c r="L4" s="2"/>
    </row>
    <row r="5" spans="3:12">
      <c r="C5" s="2"/>
      <c r="D5" s="2"/>
      <c r="E5" s="2"/>
      <c r="F5" s="2"/>
      <c r="G5" s="2"/>
      <c r="H5" s="2"/>
      <c r="I5" s="2"/>
      <c r="J5" s="2"/>
      <c r="K5" s="2"/>
      <c r="L5" s="2"/>
    </row>
    <row r="6" spans="3:12">
      <c r="C6" s="2"/>
      <c r="D6" s="2"/>
      <c r="E6" s="2"/>
      <c r="F6" s="2"/>
      <c r="G6" s="2"/>
      <c r="H6" s="2"/>
      <c r="I6" s="2"/>
      <c r="J6" s="2"/>
      <c r="K6" s="2"/>
      <c r="L6" s="2"/>
    </row>
    <row r="7" spans="3:12" ht="34.049999999999997" customHeight="1">
      <c r="C7" s="83" t="s">
        <v>574</v>
      </c>
      <c r="D7" s="84" t="s">
        <v>575</v>
      </c>
      <c r="E7" s="84" t="s">
        <v>576</v>
      </c>
      <c r="F7" s="84" t="s">
        <v>577</v>
      </c>
      <c r="G7" s="85" t="s">
        <v>578</v>
      </c>
      <c r="H7" s="2"/>
      <c r="I7" s="2"/>
      <c r="J7" s="86" t="s">
        <v>579</v>
      </c>
      <c r="K7" s="86" t="s">
        <v>580</v>
      </c>
      <c r="L7" s="86" t="s">
        <v>577</v>
      </c>
    </row>
    <row r="8" spans="3:12">
      <c r="C8" s="6" t="s">
        <v>581</v>
      </c>
      <c r="D8" s="88">
        <f>IF(AND(COUNTA(Data!$C$8:$G$151)&gt;0,COUNTA(Data!$C$158:$G$193)&gt;0,COUNTA(Data!$C$200:$H$217)&gt;0,COUNTA(Data!$C$224:$J$230)&gt;0,COUNTA(Assumptions!$C$8:$R$19)&gt;0),0,1)</f>
        <v>0</v>
      </c>
      <c r="E8" s="88">
        <v>0</v>
      </c>
      <c r="F8" s="6" t="str">
        <f t="shared" ref="F8:F22" si="0">IF(ABS(D8)&lt;=E8,"PASS","FAIL")</f>
        <v>PASS</v>
      </c>
      <c r="G8" s="80" t="s">
        <v>582</v>
      </c>
      <c r="H8" s="2"/>
      <c r="I8" s="2"/>
      <c r="J8" s="87">
        <v>46023</v>
      </c>
      <c r="K8" s="2">
        <f>COUNTIFS(Assumptions!$D$8:$D$19,J8)</f>
        <v>1</v>
      </c>
      <c r="L8" s="2" t="str">
        <f t="shared" ref="L8:L19" si="1">IF(K8=1,"PASS","FAIL")</f>
        <v>PASS</v>
      </c>
    </row>
    <row r="9" spans="3:12">
      <c r="C9" s="7" t="s">
        <v>583</v>
      </c>
      <c r="D9" s="89">
        <f>ABS(COUNTA(Assumptions!$C$8:$C$19)-12)</f>
        <v>0</v>
      </c>
      <c r="E9" s="89">
        <v>0</v>
      </c>
      <c r="F9" s="7" t="str">
        <f t="shared" si="0"/>
        <v>PASS</v>
      </c>
      <c r="G9" s="90" t="s">
        <v>584</v>
      </c>
      <c r="H9" s="2"/>
      <c r="I9" s="2"/>
      <c r="J9" s="87">
        <v>46054</v>
      </c>
      <c r="K9" s="2">
        <f>COUNTIFS(Assumptions!$D$8:$D$19,J9)</f>
        <v>1</v>
      </c>
      <c r="L9" s="2" t="str">
        <f t="shared" si="1"/>
        <v>PASS</v>
      </c>
    </row>
    <row r="10" spans="3:12">
      <c r="C10" s="7" t="s">
        <v>585</v>
      </c>
      <c r="D10" s="89">
        <f>ABS(COUNTA(Data!$C$8:$C$151)-144)</f>
        <v>0</v>
      </c>
      <c r="E10" s="89">
        <v>0</v>
      </c>
      <c r="F10" s="7" t="str">
        <f t="shared" si="0"/>
        <v>PASS</v>
      </c>
      <c r="G10" s="90" t="s">
        <v>586</v>
      </c>
      <c r="H10" s="2"/>
      <c r="I10" s="2"/>
      <c r="J10" s="87">
        <v>46082</v>
      </c>
      <c r="K10" s="2">
        <f>COUNTIFS(Assumptions!$D$8:$D$19,J10)</f>
        <v>1</v>
      </c>
      <c r="L10" s="2" t="str">
        <f t="shared" si="1"/>
        <v>PASS</v>
      </c>
    </row>
    <row r="11" spans="3:12">
      <c r="C11" s="7" t="s">
        <v>587</v>
      </c>
      <c r="D11" s="89">
        <f>ABS(COUNTA(Data!$C$158:$C$193)-36)</f>
        <v>0</v>
      </c>
      <c r="E11" s="89">
        <v>0</v>
      </c>
      <c r="F11" s="7" t="str">
        <f t="shared" si="0"/>
        <v>PASS</v>
      </c>
      <c r="G11" s="90" t="s">
        <v>588</v>
      </c>
      <c r="H11" s="2"/>
      <c r="I11" s="2"/>
      <c r="J11" s="87">
        <v>46113</v>
      </c>
      <c r="K11" s="2">
        <f>COUNTIFS(Assumptions!$D$8:$D$19,J11)</f>
        <v>1</v>
      </c>
      <c r="L11" s="2" t="str">
        <f t="shared" si="1"/>
        <v>PASS</v>
      </c>
    </row>
    <row r="12" spans="3:12">
      <c r="C12" s="7" t="s">
        <v>589</v>
      </c>
      <c r="D12" s="89">
        <f>ABS(COUNTA(Data!$C$200:$C$217)-18)</f>
        <v>0</v>
      </c>
      <c r="E12" s="89">
        <v>0</v>
      </c>
      <c r="F12" s="7" t="str">
        <f t="shared" si="0"/>
        <v>PASS</v>
      </c>
      <c r="G12" s="90" t="s">
        <v>590</v>
      </c>
      <c r="H12" s="2"/>
      <c r="I12" s="2"/>
      <c r="J12" s="87">
        <v>46143</v>
      </c>
      <c r="K12" s="2">
        <f>COUNTIFS(Assumptions!$D$8:$D$19,J12)</f>
        <v>1</v>
      </c>
      <c r="L12" s="2" t="str">
        <f t="shared" si="1"/>
        <v>PASS</v>
      </c>
    </row>
    <row r="13" spans="3:12">
      <c r="C13" s="7" t="s">
        <v>591</v>
      </c>
      <c r="D13" s="89">
        <f>ABS(COUNTA(Data!$C$224:$C$230)-7)</f>
        <v>0</v>
      </c>
      <c r="E13" s="89">
        <v>0</v>
      </c>
      <c r="F13" s="7" t="str">
        <f t="shared" si="0"/>
        <v>PASS</v>
      </c>
      <c r="G13" s="90" t="s">
        <v>592</v>
      </c>
      <c r="H13" s="2"/>
      <c r="I13" s="2"/>
      <c r="J13" s="87">
        <v>46174</v>
      </c>
      <c r="K13" s="2">
        <f>COUNTIFS(Assumptions!$D$8:$D$19,J13)</f>
        <v>1</v>
      </c>
      <c r="L13" s="2" t="str">
        <f t="shared" si="1"/>
        <v>PASS</v>
      </c>
    </row>
    <row r="14" spans="3:12">
      <c r="C14" s="7" t="s">
        <v>593</v>
      </c>
      <c r="D14" s="89">
        <f>IF(AND(Data!C7="case_version",Data!D7="period",Data!E7="account_code",Data!F7="account_name",Data!G7="amount_usd",Data!C157="case_version",Data!D157="period",Data!E157="segment",Data!F157="occupied_room_nights",Data!G157="room_revenue",Data!C199="case_version",Data!D199="period",Data!E199="housekeeping_hours",Data!F199="housekeeping_payroll",Data!G199="fixed_staff_fte",Data!H199="fixed_staff_payroll",Data!C223="update_id",Data!D223="as_of_date",Data!E223="effective_start",Data!F223="effective_end",Data!G223="category",Data!H223="observation",Data!I223="evidence_status",Data!J223="forecast_relevance",Assumptions!C7="case_version",Assumptions!D7="period",Assumptions!E7="rooms_available",Assumptions!F7="total_occupied_room_nights",Assumptions!G7="corporate_share",Assumptions!H7="retail_adr",Assumptions!I7="corporate_adr",Assumptions!J7="housekeeping_hours_per_occupied_room",Assumptions!K7="housekeeping_loaded_wage_per_hour",Assumptions!L7="guest_service_cost_per_occupied_room",Assumptions!M7="distribution_fee_rate",Assumptions!N7="fixed_staff_fte",Assumptions!O7="fixed_staff_loaded_cost_per_fte",Assumptions!P7="rent",Assumptions!Q7="property_overhead",Assumptions!R7="marketing"),0,1)</f>
        <v>0</v>
      </c>
      <c r="E14" s="89">
        <v>0</v>
      </c>
      <c r="F14" s="7" t="str">
        <f t="shared" si="0"/>
        <v>PASS</v>
      </c>
      <c r="G14" s="90" t="s">
        <v>594</v>
      </c>
      <c r="H14" s="2"/>
      <c r="I14" s="2"/>
      <c r="J14" s="87">
        <v>46204</v>
      </c>
      <c r="K14" s="2">
        <f>COUNTIFS(Assumptions!$D$8:$D$19,J14)</f>
        <v>1</v>
      </c>
      <c r="L14" s="2" t="str">
        <f t="shared" si="1"/>
        <v>PASS</v>
      </c>
    </row>
    <row r="15" spans="3:12">
      <c r="C15" s="7" t="s">
        <v>2</v>
      </c>
      <c r="D15" s="89">
        <f>COUNTIFS(Assumptions!$C$8:$C$19,"&lt;&gt;v1.0")+COUNTIFS(Data!$C$8:$C$151,"&lt;&gt;v1.0")+COUNTIFS(Data!$C$158:$C$193,"&lt;&gt;v1.0")+COUNTIFS(Data!$C$200:$C$217,"&lt;&gt;v1.0")</f>
        <v>0</v>
      </c>
      <c r="E15" s="89">
        <v>0</v>
      </c>
      <c r="F15" s="7" t="str">
        <f t="shared" si="0"/>
        <v>PASS</v>
      </c>
      <c r="G15" s="90" t="s">
        <v>595</v>
      </c>
      <c r="H15" s="2"/>
      <c r="I15" s="2"/>
      <c r="J15" s="87">
        <v>46235</v>
      </c>
      <c r="K15" s="2">
        <f>COUNTIFS(Assumptions!$D$8:$D$19,J15)</f>
        <v>1</v>
      </c>
      <c r="L15" s="2" t="str">
        <f t="shared" si="1"/>
        <v>PASS</v>
      </c>
    </row>
    <row r="16" spans="3:12">
      <c r="C16" s="7" t="s">
        <v>596</v>
      </c>
      <c r="D16" s="89">
        <f>COUNTBLANK(Assumptions!$C$8:$R$19)+COUNTBLANK(Data!$C$8:$G$151)+COUNTBLANK(Data!$C$158:$G$193)+COUNTBLANK(Data!$C$200:$H$217)+COUNTBLANK(Data!$C$224:$J$230)</f>
        <v>0</v>
      </c>
      <c r="E16" s="89">
        <v>0</v>
      </c>
      <c r="F16" s="7" t="str">
        <f t="shared" si="0"/>
        <v>PASS</v>
      </c>
      <c r="G16" s="90" t="s">
        <v>597</v>
      </c>
      <c r="H16" s="2"/>
      <c r="I16" s="2"/>
      <c r="J16" s="87">
        <v>46266</v>
      </c>
      <c r="K16" s="2">
        <f>COUNTIFS(Assumptions!$D$8:$D$19,J16)</f>
        <v>1</v>
      </c>
      <c r="L16" s="2" t="str">
        <f t="shared" si="1"/>
        <v>PASS</v>
      </c>
    </row>
    <row r="17" spans="3:21">
      <c r="C17" s="7" t="s">
        <v>598</v>
      </c>
      <c r="D17" s="89">
        <f>ABS(COUNTIFS($K$8:$K$19,1)-12)</f>
        <v>0</v>
      </c>
      <c r="E17" s="89">
        <v>0</v>
      </c>
      <c r="F17" s="7" t="str">
        <f t="shared" si="0"/>
        <v>PASS</v>
      </c>
      <c r="G17" s="90" t="s">
        <v>599</v>
      </c>
      <c r="H17" s="2"/>
      <c r="I17" s="2"/>
      <c r="J17" s="87">
        <v>46296</v>
      </c>
      <c r="K17" s="2">
        <f>COUNTIFS(Assumptions!$D$8:$D$19,J17)</f>
        <v>1</v>
      </c>
      <c r="L17" s="2" t="str">
        <f t="shared" si="1"/>
        <v>PASS</v>
      </c>
    </row>
    <row r="18" spans="3:21">
      <c r="C18" s="7" t="s">
        <v>600</v>
      </c>
      <c r="D18" s="89">
        <f>IF(AND(MIN(Assumptions!$D$8:$D$19)=DATE(2026,1,1),MAX(Assumptions!$D$8:$D$19)=DATE(2026,12,1)),0,1)</f>
        <v>0</v>
      </c>
      <c r="E18" s="89">
        <v>0</v>
      </c>
      <c r="F18" s="7" t="str">
        <f t="shared" si="0"/>
        <v>PASS</v>
      </c>
      <c r="G18" s="90" t="s">
        <v>601</v>
      </c>
      <c r="H18" s="2"/>
      <c r="I18" s="2"/>
      <c r="J18" s="87">
        <v>46327</v>
      </c>
      <c r="K18" s="2">
        <f>COUNTIFS(Assumptions!$D$8:$D$19,J18)</f>
        <v>1</v>
      </c>
      <c r="L18" s="2" t="str">
        <f t="shared" si="1"/>
        <v>PASS</v>
      </c>
    </row>
    <row r="19" spans="3:21">
      <c r="C19" s="7" t="s">
        <v>172</v>
      </c>
      <c r="D19" s="89">
        <f>COUNTIFS(Assumptions!$E$8:$E$19,"&lt;&gt;100")</f>
        <v>0</v>
      </c>
      <c r="E19" s="89">
        <v>0</v>
      </c>
      <c r="F19" s="7" t="str">
        <f t="shared" si="0"/>
        <v>PASS</v>
      </c>
      <c r="G19" s="90" t="s">
        <v>602</v>
      </c>
      <c r="H19" s="2"/>
      <c r="I19" s="2"/>
      <c r="J19" s="87">
        <v>46357</v>
      </c>
      <c r="K19" s="2">
        <f>COUNTIFS(Assumptions!$D$8:$D$19,J19)</f>
        <v>1</v>
      </c>
      <c r="L19" s="2" t="str">
        <f t="shared" si="1"/>
        <v>PASS</v>
      </c>
    </row>
    <row r="20" spans="3:21">
      <c r="C20" s="7" t="s">
        <v>603</v>
      </c>
      <c r="D20" s="89">
        <f>COUNTIFS(Assumptions!$M$8:$M$19,"&lt;&gt;0.04")</f>
        <v>0</v>
      </c>
      <c r="E20" s="89">
        <v>0</v>
      </c>
      <c r="F20" s="7" t="str">
        <f t="shared" si="0"/>
        <v>PASS</v>
      </c>
      <c r="G20" s="90" t="s">
        <v>604</v>
      </c>
      <c r="H20" s="2"/>
      <c r="I20" s="2"/>
      <c r="J20" s="2"/>
      <c r="K20" s="2"/>
      <c r="L20" s="2"/>
    </row>
    <row r="21" spans="3:21">
      <c r="C21" s="7" t="s">
        <v>605</v>
      </c>
      <c r="D21" s="89">
        <f>COUNTIFS($K$8:$K$19,"&gt;1")</f>
        <v>0</v>
      </c>
      <c r="E21" s="89">
        <v>0</v>
      </c>
      <c r="F21" s="7" t="str">
        <f t="shared" si="0"/>
        <v>PASS</v>
      </c>
      <c r="G21" s="90" t="s">
        <v>606</v>
      </c>
      <c r="H21" s="2"/>
      <c r="I21" s="2"/>
      <c r="J21" s="2"/>
      <c r="K21" s="2"/>
      <c r="L21" s="2"/>
    </row>
    <row r="22" spans="3:21">
      <c r="C22" s="7" t="s">
        <v>607</v>
      </c>
      <c r="D22" s="89">
        <f>COUNTIFS($K$8:$K$19,0)</f>
        <v>0</v>
      </c>
      <c r="E22" s="89">
        <v>0</v>
      </c>
      <c r="F22" s="7" t="str">
        <f t="shared" si="0"/>
        <v>PASS</v>
      </c>
      <c r="G22" s="90" t="s">
        <v>608</v>
      </c>
      <c r="H22" s="2"/>
      <c r="I22" s="2"/>
      <c r="J22" s="2"/>
      <c r="K22" s="2"/>
      <c r="L22" s="2"/>
    </row>
    <row r="23" spans="3:21">
      <c r="C23" s="7"/>
      <c r="D23" s="89"/>
      <c r="E23" s="89"/>
      <c r="F23" s="7"/>
      <c r="G23" s="90"/>
      <c r="H23" s="2"/>
      <c r="I23" s="2"/>
      <c r="J23" s="2"/>
      <c r="K23" s="2"/>
      <c r="L23" s="2"/>
    </row>
    <row r="24" spans="3:21" ht="38" customHeight="1">
      <c r="C24" s="91" t="s">
        <v>609</v>
      </c>
      <c r="D24" s="92" t="s">
        <v>575</v>
      </c>
      <c r="E24" s="92" t="s">
        <v>576</v>
      </c>
      <c r="F24" s="93" t="s">
        <v>577</v>
      </c>
      <c r="G24" s="93" t="s">
        <v>578</v>
      </c>
      <c r="H24" s="2"/>
      <c r="I24" s="2"/>
      <c r="J24" s="171" t="s">
        <v>276</v>
      </c>
      <c r="K24" s="171" t="s">
        <v>610</v>
      </c>
      <c r="L24" s="171" t="s">
        <v>611</v>
      </c>
      <c r="M24" s="172" t="s">
        <v>612</v>
      </c>
      <c r="N24" s="172" t="s">
        <v>57</v>
      </c>
      <c r="O24" s="172" t="s">
        <v>613</v>
      </c>
      <c r="P24" s="172" t="s">
        <v>61</v>
      </c>
      <c r="Q24" s="172" t="s">
        <v>484</v>
      </c>
      <c r="R24" s="172" t="s">
        <v>614</v>
      </c>
      <c r="S24" s="172" t="s">
        <v>67</v>
      </c>
      <c r="T24" s="172" t="s">
        <v>489</v>
      </c>
      <c r="U24" s="172" t="s">
        <v>71</v>
      </c>
    </row>
    <row r="25" spans="3:21">
      <c r="C25" s="7" t="s">
        <v>615</v>
      </c>
      <c r="D25" s="89">
        <f>IF(Budget!D11&gt;Budget!D10,1,0)+IF(Budget!E11&gt;Budget!E10,1,0)+IF(Budget!F11&gt;Budget!F10,1,0)+IF(Budget!G11&gt;Budget!G10,1,0)+IF(Budget!H11&gt;Budget!H10,1,0)+IF(Budget!I11&gt;Budget!I10,1,0)+IF(Budget!J11&gt;Budget!J10,1,0)+IF(Budget!K11&gt;Budget!K10,1,0)+IF(Budget!L11&gt;Budget!L10,1,0)+IF(Budget!M11&gt;Budget!M10,1,0)+IF(Budget!N11&gt;Budget!N10,1,0)+IF(Budget!O11&gt;Budget!O10,1,0)</f>
        <v>0</v>
      </c>
      <c r="E25" s="89">
        <v>0</v>
      </c>
      <c r="F25" s="7" t="str">
        <f t="shared" ref="F25:F30" si="2">IF(ABS(D25)&lt;=E25,"PASS","FAIL")</f>
        <v>PASS</v>
      </c>
      <c r="G25" s="90" t="s">
        <v>616</v>
      </c>
      <c r="H25" s="2"/>
      <c r="I25" s="2"/>
      <c r="J25" s="154">
        <v>46023</v>
      </c>
      <c r="K25" s="155">
        <f>COUNTIFS(Data!$D$158:$D$193,$J25,Data!$E$158:$E$193,"Retail/Leisure")</f>
        <v>1</v>
      </c>
      <c r="L25" s="155">
        <f>COUNTIFS(Data!$D$158:$D$193,$J25,Data!$E$158:$E$193,"Negotiated Corporate")</f>
        <v>1</v>
      </c>
      <c r="M25" s="156">
        <f>COUNTIFS(Data!$D$200:$D$217,$J25)</f>
        <v>1</v>
      </c>
      <c r="N25" s="156">
        <f>COUNTIFS(Data!$D$8:$D$151,$J25,Data!$F$8:$F$151,"Room Revenue")</f>
        <v>1</v>
      </c>
      <c r="O25" s="156">
        <f>COUNTIFS(Data!$D$8:$D$151,$J25,Data!$F$8:$F$151,"Housekeeping Payroll")</f>
        <v>1</v>
      </c>
      <c r="P25" s="156">
        <f>COUNTIFS(Data!$D$8:$D$151,$J25,Data!$F$8:$F$151,"Guest Services")</f>
        <v>1</v>
      </c>
      <c r="Q25" s="156">
        <f>COUNTIFS(Data!$D$8:$D$151,$J25,Data!$F$8:$F$151,"Distribution and Payment")</f>
        <v>1</v>
      </c>
      <c r="R25" s="156">
        <f>COUNTIFS(Data!$D$8:$D$151,$J25,Data!$F$8:$F$151,"Fixed Staff Payroll")</f>
        <v>1</v>
      </c>
      <c r="S25" s="156">
        <f>COUNTIFS(Data!$D$8:$D$151,$J25,Data!$F$8:$F$151,"Rent")</f>
        <v>1</v>
      </c>
      <c r="T25" s="156">
        <f>COUNTIFS(Data!$D$8:$D$151,$J25,Data!$F$8:$F$151,"Property Overhead")</f>
        <v>1</v>
      </c>
      <c r="U25" s="156">
        <f>COUNTIFS(Data!$D$8:$D$151,$J25,Data!$F$8:$F$151,"Marketing")</f>
        <v>1</v>
      </c>
    </row>
    <row r="26" spans="3:21">
      <c r="C26" s="7" t="s">
        <v>617</v>
      </c>
      <c r="D26" s="89">
        <f>COUNTIFS(Budget!$D$12:$O$12,"&lt;0")+COUNTIFS(Budget!$D$12:$O$12,"&gt;1")</f>
        <v>0</v>
      </c>
      <c r="E26" s="89">
        <v>0</v>
      </c>
      <c r="F26" s="7" t="str">
        <f t="shared" si="2"/>
        <v>PASS</v>
      </c>
      <c r="G26" s="90" t="s">
        <v>616</v>
      </c>
      <c r="H26" s="2"/>
      <c r="I26" s="2"/>
      <c r="J26" s="154">
        <v>46054</v>
      </c>
      <c r="K26" s="155">
        <f>COUNTIFS(Data!$D$158:$D$193,$J26,Data!$E$158:$E$193,"Retail/Leisure")</f>
        <v>1</v>
      </c>
      <c r="L26" s="155">
        <f>COUNTIFS(Data!$D$158:$D$193,$J26,Data!$E$158:$E$193,"Negotiated Corporate")</f>
        <v>1</v>
      </c>
      <c r="M26" s="156">
        <f>COUNTIFS(Data!$D$200:$D$217,$J26)</f>
        <v>1</v>
      </c>
      <c r="N26" s="156">
        <f>COUNTIFS(Data!$D$8:$D$151,$J26,Data!$F$8:$F$151,"Room Revenue")</f>
        <v>1</v>
      </c>
      <c r="O26" s="156">
        <f>COUNTIFS(Data!$D$8:$D$151,$J26,Data!$F$8:$F$151,"Housekeeping Payroll")</f>
        <v>1</v>
      </c>
      <c r="P26" s="156">
        <f>COUNTIFS(Data!$D$8:$D$151,$J26,Data!$F$8:$F$151,"Guest Services")</f>
        <v>1</v>
      </c>
      <c r="Q26" s="156">
        <f>COUNTIFS(Data!$D$8:$D$151,$J26,Data!$F$8:$F$151,"Distribution and Payment")</f>
        <v>1</v>
      </c>
      <c r="R26" s="156">
        <f>COUNTIFS(Data!$D$8:$D$151,$J26,Data!$F$8:$F$151,"Fixed Staff Payroll")</f>
        <v>1</v>
      </c>
      <c r="S26" s="156">
        <f>COUNTIFS(Data!$D$8:$D$151,$J26,Data!$F$8:$F$151,"Rent")</f>
        <v>1</v>
      </c>
      <c r="T26" s="156">
        <f>COUNTIFS(Data!$D$8:$D$151,$J26,Data!$F$8:$F$151,"Property Overhead")</f>
        <v>1</v>
      </c>
      <c r="U26" s="156">
        <f>COUNTIFS(Data!$D$8:$D$151,$J26,Data!$F$8:$F$151,"Marketing")</f>
        <v>1</v>
      </c>
    </row>
    <row r="27" spans="3:21">
      <c r="C27" s="7" t="s">
        <v>618</v>
      </c>
      <c r="D27" s="89">
        <f>COUNTIFS(Budget!$D$13:$O$13,"&lt;0")+COUNTIFS(Budget!$D$13:$O$13,"&gt;1")</f>
        <v>0</v>
      </c>
      <c r="E27" s="89">
        <v>0</v>
      </c>
      <c r="F27" s="7" t="str">
        <f t="shared" si="2"/>
        <v>PASS</v>
      </c>
      <c r="G27" s="90" t="s">
        <v>616</v>
      </c>
      <c r="H27" s="2"/>
      <c r="I27" s="2"/>
      <c r="J27" s="154">
        <v>46082</v>
      </c>
      <c r="K27" s="155">
        <f>COUNTIFS(Data!$D$158:$D$193,$J27,Data!$E$158:$E$193,"Retail/Leisure")</f>
        <v>1</v>
      </c>
      <c r="L27" s="155">
        <f>COUNTIFS(Data!$D$158:$D$193,$J27,Data!$E$158:$E$193,"Negotiated Corporate")</f>
        <v>1</v>
      </c>
      <c r="M27" s="156">
        <f>COUNTIFS(Data!$D$200:$D$217,$J27)</f>
        <v>1</v>
      </c>
      <c r="N27" s="156">
        <f>COUNTIFS(Data!$D$8:$D$151,$J27,Data!$F$8:$F$151,"Room Revenue")</f>
        <v>1</v>
      </c>
      <c r="O27" s="156">
        <f>COUNTIFS(Data!$D$8:$D$151,$J27,Data!$F$8:$F$151,"Housekeeping Payroll")</f>
        <v>1</v>
      </c>
      <c r="P27" s="156">
        <f>COUNTIFS(Data!$D$8:$D$151,$J27,Data!$F$8:$F$151,"Guest Services")</f>
        <v>1</v>
      </c>
      <c r="Q27" s="156">
        <f>COUNTIFS(Data!$D$8:$D$151,$J27,Data!$F$8:$F$151,"Distribution and Payment")</f>
        <v>1</v>
      </c>
      <c r="R27" s="156">
        <f>COUNTIFS(Data!$D$8:$D$151,$J27,Data!$F$8:$F$151,"Fixed Staff Payroll")</f>
        <v>1</v>
      </c>
      <c r="S27" s="156">
        <f>COUNTIFS(Data!$D$8:$D$151,$J27,Data!$F$8:$F$151,"Rent")</f>
        <v>1</v>
      </c>
      <c r="T27" s="156">
        <f>COUNTIFS(Data!$D$8:$D$151,$J27,Data!$F$8:$F$151,"Property Overhead")</f>
        <v>1</v>
      </c>
      <c r="U27" s="156">
        <f>COUNTIFS(Data!$D$8:$D$151,$J27,Data!$F$8:$F$151,"Marketing")</f>
        <v>1</v>
      </c>
    </row>
    <row r="28" spans="3:21">
      <c r="C28" s="7" t="s">
        <v>619</v>
      </c>
      <c r="D28" s="89">
        <f>MAX(ABS(Budget!D14+Budget!D15-Budget!D11),ABS(Budget!E14+Budget!E15-Budget!E11),ABS(Budget!F14+Budget!F15-Budget!F11),ABS(Budget!G14+Budget!G15-Budget!G11),ABS(Budget!H14+Budget!H15-Budget!H11),ABS(Budget!I14+Budget!I15-Budget!I11),ABS(Budget!J14+Budget!J15-Budget!J11),ABS(Budget!K14+Budget!K15-Budget!K11),ABS(Budget!L14+Budget!L15-Budget!L11),ABS(Budget!M14+Budget!M15-Budget!M11),ABS(Budget!N14+Budget!N15-Budget!N11),ABS(Budget!O14+Budget!O15-Budget!O11))</f>
        <v>0</v>
      </c>
      <c r="E28" s="89">
        <v>9.9999999999999995E-7</v>
      </c>
      <c r="F28" s="7" t="str">
        <f t="shared" si="2"/>
        <v>PASS</v>
      </c>
      <c r="G28" s="90" t="s">
        <v>620</v>
      </c>
      <c r="H28" s="2"/>
      <c r="I28" s="2"/>
      <c r="J28" s="154">
        <v>46113</v>
      </c>
      <c r="K28" s="155">
        <f>COUNTIFS(Data!$D$158:$D$193,$J28,Data!$E$158:$E$193,"Retail/Leisure")</f>
        <v>1</v>
      </c>
      <c r="L28" s="155">
        <f>COUNTIFS(Data!$D$158:$D$193,$J28,Data!$E$158:$E$193,"Negotiated Corporate")</f>
        <v>1</v>
      </c>
      <c r="M28" s="156">
        <f>COUNTIFS(Data!$D$200:$D$217,$J28)</f>
        <v>1</v>
      </c>
      <c r="N28" s="156">
        <f>COUNTIFS(Data!$D$8:$D$151,$J28,Data!$F$8:$F$151,"Room Revenue")</f>
        <v>1</v>
      </c>
      <c r="O28" s="156">
        <f>COUNTIFS(Data!$D$8:$D$151,$J28,Data!$F$8:$F$151,"Housekeeping Payroll")</f>
        <v>1</v>
      </c>
      <c r="P28" s="156">
        <f>COUNTIFS(Data!$D$8:$D$151,$J28,Data!$F$8:$F$151,"Guest Services")</f>
        <v>1</v>
      </c>
      <c r="Q28" s="156">
        <f>COUNTIFS(Data!$D$8:$D$151,$J28,Data!$F$8:$F$151,"Distribution and Payment")</f>
        <v>1</v>
      </c>
      <c r="R28" s="156">
        <f>COUNTIFS(Data!$D$8:$D$151,$J28,Data!$F$8:$F$151,"Fixed Staff Payroll")</f>
        <v>1</v>
      </c>
      <c r="S28" s="156">
        <f>COUNTIFS(Data!$D$8:$D$151,$J28,Data!$F$8:$F$151,"Rent")</f>
        <v>1</v>
      </c>
      <c r="T28" s="156">
        <f>COUNTIFS(Data!$D$8:$D$151,$J28,Data!$F$8:$F$151,"Property Overhead")</f>
        <v>1</v>
      </c>
      <c r="U28" s="156">
        <f>COUNTIFS(Data!$D$8:$D$151,$J28,Data!$F$8:$F$151,"Marketing")</f>
        <v>1</v>
      </c>
    </row>
    <row r="29" spans="3:21">
      <c r="C29" s="7" t="s">
        <v>621</v>
      </c>
      <c r="D29" s="89">
        <f>COUNTIFS(Budget!$D$11:$O$11,"&lt;0")+COUNTIFS(Budget!$D$14:$O$14,"&lt;0")+COUNTIFS(Budget!$D$15:$O$15,"&lt;0")</f>
        <v>0</v>
      </c>
      <c r="E29" s="89">
        <v>0</v>
      </c>
      <c r="F29" s="7" t="str">
        <f t="shared" si="2"/>
        <v>PASS</v>
      </c>
      <c r="G29" s="90" t="s">
        <v>616</v>
      </c>
      <c r="H29" s="2"/>
      <c r="I29" s="2"/>
      <c r="J29" s="154">
        <v>46143</v>
      </c>
      <c r="K29" s="155">
        <f>COUNTIFS(Data!$D$158:$D$193,$J29,Data!$E$158:$E$193,"Retail/Leisure")</f>
        <v>1</v>
      </c>
      <c r="L29" s="155">
        <f>COUNTIFS(Data!$D$158:$D$193,$J29,Data!$E$158:$E$193,"Negotiated Corporate")</f>
        <v>1</v>
      </c>
      <c r="M29" s="156">
        <f>COUNTIFS(Data!$D$200:$D$217,$J29)</f>
        <v>1</v>
      </c>
      <c r="N29" s="156">
        <f>COUNTIFS(Data!$D$8:$D$151,$J29,Data!$F$8:$F$151,"Room Revenue")</f>
        <v>1</v>
      </c>
      <c r="O29" s="156">
        <f>COUNTIFS(Data!$D$8:$D$151,$J29,Data!$F$8:$F$151,"Housekeeping Payroll")</f>
        <v>1</v>
      </c>
      <c r="P29" s="156">
        <f>COUNTIFS(Data!$D$8:$D$151,$J29,Data!$F$8:$F$151,"Guest Services")</f>
        <v>1</v>
      </c>
      <c r="Q29" s="156">
        <f>COUNTIFS(Data!$D$8:$D$151,$J29,Data!$F$8:$F$151,"Distribution and Payment")</f>
        <v>1</v>
      </c>
      <c r="R29" s="156">
        <f>COUNTIFS(Data!$D$8:$D$151,$J29,Data!$F$8:$F$151,"Fixed Staff Payroll")</f>
        <v>1</v>
      </c>
      <c r="S29" s="156">
        <f>COUNTIFS(Data!$D$8:$D$151,$J29,Data!$F$8:$F$151,"Rent")</f>
        <v>1</v>
      </c>
      <c r="T29" s="156">
        <f>COUNTIFS(Data!$D$8:$D$151,$J29,Data!$F$8:$F$151,"Property Overhead")</f>
        <v>1</v>
      </c>
      <c r="U29" s="156">
        <f>COUNTIFS(Data!$D$8:$D$151,$J29,Data!$F$8:$F$151,"Marketing")</f>
        <v>1</v>
      </c>
    </row>
    <row r="30" spans="3:21">
      <c r="C30" s="7" t="s">
        <v>622</v>
      </c>
      <c r="D30" s="89">
        <f>MAX(ABS(Budget!D21+Budget!D22-Budget!D23),ABS(Budget!E21+Budget!E22-Budget!E23),ABS(Budget!F21+Budget!F22-Budget!F23),ABS(Budget!G21+Budget!G22-Budget!G23),ABS(Budget!H21+Budget!H22-Budget!H23),ABS(Budget!I21+Budget!I22-Budget!I23),ABS(Budget!J21+Budget!J22-Budget!J23),ABS(Budget!K21+Budget!K22-Budget!K23),ABS(Budget!L21+Budget!L22-Budget!L23),ABS(Budget!M21+Budget!M22-Budget!M23),ABS(Budget!N21+Budget!N22-Budget!N23),ABS(Budget!O21+Budget!O22-Budget!O23))</f>
        <v>0</v>
      </c>
      <c r="E30" s="89">
        <v>0.01</v>
      </c>
      <c r="F30" s="7" t="str">
        <f t="shared" si="2"/>
        <v>PASS</v>
      </c>
      <c r="G30" s="90" t="s">
        <v>623</v>
      </c>
      <c r="H30" s="2"/>
      <c r="I30" s="2"/>
      <c r="J30" s="157">
        <v>46174</v>
      </c>
      <c r="K30" s="158">
        <f>COUNTIFS(Data!$D$158:$D$193,$J30,Data!$E$158:$E$193,"Retail/Leisure")</f>
        <v>1</v>
      </c>
      <c r="L30" s="158">
        <f>COUNTIFS(Data!$D$158:$D$193,$J30,Data!$E$158:$E$193,"Negotiated Corporate")</f>
        <v>1</v>
      </c>
      <c r="M30" s="159">
        <f>COUNTIFS(Data!$D$200:$D$217,$J30)</f>
        <v>1</v>
      </c>
      <c r="N30" s="159">
        <f>COUNTIFS(Data!$D$8:$D$151,$J30,Data!$F$8:$F$151,"Room Revenue")</f>
        <v>1</v>
      </c>
      <c r="O30" s="159">
        <f>COUNTIFS(Data!$D$8:$D$151,$J30,Data!$F$8:$F$151,"Housekeeping Payroll")</f>
        <v>1</v>
      </c>
      <c r="P30" s="159">
        <f>COUNTIFS(Data!$D$8:$D$151,$J30,Data!$F$8:$F$151,"Guest Services")</f>
        <v>1</v>
      </c>
      <c r="Q30" s="159">
        <f>COUNTIFS(Data!$D$8:$D$151,$J30,Data!$F$8:$F$151,"Distribution and Payment")</f>
        <v>1</v>
      </c>
      <c r="R30" s="159">
        <f>COUNTIFS(Data!$D$8:$D$151,$J30,Data!$F$8:$F$151,"Fixed Staff Payroll")</f>
        <v>1</v>
      </c>
      <c r="S30" s="159">
        <f>COUNTIFS(Data!$D$8:$D$151,$J30,Data!$F$8:$F$151,"Rent")</f>
        <v>1</v>
      </c>
      <c r="T30" s="159">
        <f>COUNTIFS(Data!$D$8:$D$151,$J30,Data!$F$8:$F$151,"Property Overhead")</f>
        <v>1</v>
      </c>
      <c r="U30" s="159">
        <f>COUNTIFS(Data!$D$8:$D$151,$J30,Data!$F$8:$F$151,"Marketing")</f>
        <v>1</v>
      </c>
    </row>
    <row r="31" spans="3:21">
      <c r="C31" s="7"/>
      <c r="D31" s="89"/>
      <c r="E31" s="89"/>
      <c r="F31" s="7"/>
      <c r="G31" s="90"/>
      <c r="H31" s="2"/>
      <c r="I31" s="2"/>
      <c r="J31" s="2"/>
      <c r="K31" s="2"/>
      <c r="L31" s="2"/>
    </row>
    <row r="32" spans="3:21" ht="34.049999999999997" customHeight="1">
      <c r="C32" s="91" t="s">
        <v>624</v>
      </c>
      <c r="D32" s="92" t="s">
        <v>575</v>
      </c>
      <c r="E32" s="92" t="s">
        <v>576</v>
      </c>
      <c r="F32" s="93" t="s">
        <v>577</v>
      </c>
      <c r="G32" s="93" t="s">
        <v>578</v>
      </c>
      <c r="H32" s="2"/>
      <c r="I32" s="2"/>
      <c r="J32" s="2"/>
      <c r="K32" s="2"/>
      <c r="L32" s="2"/>
    </row>
    <row r="33" spans="3:12">
      <c r="C33" s="7" t="s">
        <v>237</v>
      </c>
      <c r="D33" s="89">
        <f>MAX(ABS(Budget!D32-Budget!D31*Budget!D30),ABS(Budget!E32-Budget!E31*Budget!E30),ABS(Budget!F32-Budget!F31*Budget!F30),ABS(Budget!G32-Budget!G31*Budget!G30),ABS(Budget!H32-Budget!H31*Budget!H30),ABS(Budget!I32-Budget!I31*Budget!I30),ABS(Budget!J32-Budget!J31*Budget!J30),ABS(Budget!K32-Budget!K31*Budget!K30),ABS(Budget!L32-Budget!L31*Budget!L30),ABS(Budget!M32-Budget!M31*Budget!M30),ABS(Budget!N32-Budget!N31*Budget!N30),ABS(Budget!O32-Budget!O31*Budget!O30))</f>
        <v>0</v>
      </c>
      <c r="E33" s="89">
        <v>0.01</v>
      </c>
      <c r="F33" s="7" t="str">
        <f t="shared" ref="F33:F38" si="3">IF(ABS(D33)&lt;=E33,"PASS","FAIL")</f>
        <v>PASS</v>
      </c>
      <c r="G33" s="90" t="s">
        <v>625</v>
      </c>
      <c r="H33" s="2"/>
      <c r="I33" s="2"/>
      <c r="J33" s="2"/>
      <c r="K33" s="2"/>
      <c r="L33" s="2"/>
    </row>
    <row r="34" spans="3:12">
      <c r="C34" s="7" t="s">
        <v>238</v>
      </c>
      <c r="D34" s="89">
        <f>MAX(ABS(Budget!D34-Budget!D11*Budget!D33),ABS(Budget!E34-Budget!E11*Budget!E33),ABS(Budget!F34-Budget!F11*Budget!F33),ABS(Budget!G34-Budget!G11*Budget!G33),ABS(Budget!H34-Budget!H11*Budget!H33),ABS(Budget!I34-Budget!I11*Budget!I33),ABS(Budget!J34-Budget!J11*Budget!J33),ABS(Budget!K34-Budget!K11*Budget!K33),ABS(Budget!L34-Budget!L11*Budget!L33),ABS(Budget!M34-Budget!M11*Budget!M33),ABS(Budget!N34-Budget!N11*Budget!N33),ABS(Budget!O34-Budget!O11*Budget!O33))</f>
        <v>0</v>
      </c>
      <c r="E34" s="89">
        <v>0.01</v>
      </c>
      <c r="F34" s="7" t="str">
        <f t="shared" si="3"/>
        <v>PASS</v>
      </c>
      <c r="G34" s="90" t="s">
        <v>626</v>
      </c>
      <c r="H34" s="2"/>
      <c r="I34" s="2"/>
      <c r="J34" s="2"/>
      <c r="K34" s="2"/>
      <c r="L34" s="2"/>
    </row>
    <row r="35" spans="3:12">
      <c r="C35" s="7" t="s">
        <v>627</v>
      </c>
      <c r="D35" s="89">
        <f>MAX(ABS(Budget!D36-Budget!D23*Budget!D35),ABS(Budget!E36-Budget!E23*Budget!E35),ABS(Budget!F36-Budget!F23*Budget!F35),ABS(Budget!G36-Budget!G23*Budget!G35),ABS(Budget!H36-Budget!H23*Budget!H35),ABS(Budget!I36-Budget!I23*Budget!I35),ABS(Budget!J36-Budget!J23*Budget!J35),ABS(Budget!K36-Budget!K23*Budget!K35),ABS(Budget!L36-Budget!L23*Budget!L35),ABS(Budget!M36-Budget!M23*Budget!M35),ABS(Budget!N36-Budget!N23*Budget!N35),ABS(Budget!O36-Budget!O23*Budget!O35))</f>
        <v>0</v>
      </c>
      <c r="E35" s="89">
        <v>0.01</v>
      </c>
      <c r="F35" s="7" t="str">
        <f t="shared" si="3"/>
        <v>PASS</v>
      </c>
      <c r="G35" s="90" t="s">
        <v>628</v>
      </c>
      <c r="H35" s="2"/>
      <c r="I35" s="2"/>
      <c r="J35" s="2"/>
      <c r="K35" s="2"/>
      <c r="L35" s="2"/>
    </row>
    <row r="36" spans="3:12">
      <c r="C36" s="7" t="s">
        <v>243</v>
      </c>
      <c r="D36" s="89">
        <f>MAX(ABS(Budget!D42-Budget!D40*Budget!D41),ABS(Budget!E42-Budget!E40*Budget!E41),ABS(Budget!F42-Budget!F40*Budget!F41),ABS(Budget!G42-Budget!G40*Budget!G41),ABS(Budget!H42-Budget!H40*Budget!H41),ABS(Budget!I42-Budget!I40*Budget!I41),ABS(Budget!J42-Budget!J40*Budget!J41),ABS(Budget!K42-Budget!K40*Budget!K41),ABS(Budget!L42-Budget!L40*Budget!L41),ABS(Budget!M42-Budget!M40*Budget!M41),ABS(Budget!N42-Budget!N40*Budget!N41),ABS(Budget!O42-Budget!O40*Budget!O41))</f>
        <v>0</v>
      </c>
      <c r="E36" s="89">
        <v>0.01</v>
      </c>
      <c r="F36" s="7" t="str">
        <f t="shared" si="3"/>
        <v>PASS</v>
      </c>
      <c r="G36" s="90" t="s">
        <v>629</v>
      </c>
      <c r="H36" s="2"/>
      <c r="I36" s="2"/>
      <c r="J36" s="2"/>
      <c r="K36" s="2"/>
      <c r="L36" s="2"/>
    </row>
    <row r="37" spans="3:12">
      <c r="C37" s="7" t="s">
        <v>245</v>
      </c>
      <c r="D37" s="89">
        <f>MAX(ABS(Budget!D49-SUM(Budget!D32,Budget!D34,Budget!D36,Budget!D42:'Budget'!D45)),ABS(Budget!E49-SUM(Budget!E32,Budget!E34,Budget!E36,Budget!E42:'Budget'!E45)),ABS(Budget!F49-SUM(Budget!F32,Budget!F34,Budget!F36,Budget!F42:'Budget'!F45)),ABS(Budget!G49-SUM(Budget!G32,Budget!G34,Budget!G36,Budget!G42:'Budget'!G45)),ABS(Budget!H49-SUM(Budget!H32,Budget!H34,Budget!H36,Budget!H42:'Budget'!H45)),ABS(Budget!I49-SUM(Budget!I32,Budget!I34,Budget!I36,Budget!I42:'Budget'!I45)),ABS(Budget!J49-SUM(Budget!J32,Budget!J34,Budget!J36,Budget!J42:'Budget'!J45)),ABS(Budget!K49-SUM(Budget!K32,Budget!K34,Budget!K36,Budget!K42:'Budget'!K45)),ABS(Budget!L49-SUM(Budget!L32,Budget!L34,Budget!L36,Budget!L42:'Budget'!L45)),ABS(Budget!M49-SUM(Budget!M32,Budget!M34,Budget!M36,Budget!M42:'Budget'!M45)),ABS(Budget!N49-SUM(Budget!N32,Budget!N34,Budget!N36,Budget!N42:'Budget'!N45)),ABS(Budget!O49-SUM(Budget!O32,Budget!O34,Budget!O36,Budget!O42:'Budget'!O45)))</f>
        <v>0</v>
      </c>
      <c r="E37" s="89">
        <v>0.01</v>
      </c>
      <c r="F37" s="7" t="str">
        <f t="shared" si="3"/>
        <v>PASS</v>
      </c>
      <c r="G37" s="90" t="s">
        <v>630</v>
      </c>
      <c r="H37" s="2"/>
      <c r="I37" s="2"/>
      <c r="J37" s="2"/>
      <c r="K37" s="2"/>
      <c r="L37" s="2"/>
    </row>
    <row r="38" spans="3:12">
      <c r="C38" s="7" t="s">
        <v>246</v>
      </c>
      <c r="D38" s="89">
        <f>MAX(ABS(Budget!D50-(Budget!D23-Budget!D49)),ABS(Budget!E50-(Budget!E23-Budget!E49)),ABS(Budget!F50-(Budget!F23-Budget!F49)),ABS(Budget!G50-(Budget!G23-Budget!G49)),ABS(Budget!H50-(Budget!H23-Budget!H49)),ABS(Budget!I50-(Budget!I23-Budget!I49)),ABS(Budget!J50-(Budget!J23-Budget!J49)),ABS(Budget!K50-(Budget!K23-Budget!K49)),ABS(Budget!L50-(Budget!L23-Budget!L49)),ABS(Budget!M50-(Budget!M23-Budget!M49)),ABS(Budget!N50-(Budget!N23-Budget!N49)),ABS(Budget!O50-(Budget!O23-Budget!O49)))</f>
        <v>0</v>
      </c>
      <c r="E38" s="89">
        <v>0.01</v>
      </c>
      <c r="F38" s="7" t="str">
        <f t="shared" si="3"/>
        <v>PASS</v>
      </c>
      <c r="G38" s="90" t="s">
        <v>631</v>
      </c>
      <c r="H38" s="2"/>
      <c r="I38" s="2"/>
      <c r="J38" s="2"/>
      <c r="K38" s="2"/>
      <c r="L38" s="2"/>
    </row>
    <row r="39" spans="3:12">
      <c r="C39" s="7"/>
      <c r="D39" s="89"/>
      <c r="E39" s="89"/>
      <c r="F39" s="7"/>
      <c r="G39" s="90"/>
      <c r="H39" s="2"/>
      <c r="I39" s="2"/>
      <c r="J39" s="2"/>
      <c r="K39" s="2"/>
      <c r="L39" s="2"/>
    </row>
    <row r="40" spans="3:12" ht="34.049999999999997" customHeight="1">
      <c r="C40" s="91" t="s">
        <v>632</v>
      </c>
      <c r="D40" s="92" t="s">
        <v>575</v>
      </c>
      <c r="E40" s="92" t="s">
        <v>576</v>
      </c>
      <c r="F40" s="93" t="s">
        <v>577</v>
      </c>
      <c r="G40" s="93" t="s">
        <v>578</v>
      </c>
      <c r="H40" s="2"/>
      <c r="I40" s="2"/>
      <c r="J40" s="2"/>
      <c r="K40" s="2"/>
      <c r="L40" s="2"/>
    </row>
    <row r="41" spans="3:12">
      <c r="C41" s="7" t="s">
        <v>633</v>
      </c>
      <c r="D41" s="89">
        <f>MAX(ABS(SUM(Budget!D9:O9)-Budget!P9),ABS(SUM(Budget!D10:O10)-Budget!P10),ABS(SUM(Budget!D11:O11)-Budget!P11),ABS(SUM(Budget!D14:O14)-Budget!P14),ABS(SUM(Budget!D15:O15)-Budget!P15),ABS(SUM(Budget!D21:O21)-Budget!P21),ABS(SUM(Budget!D22:O22)-Budget!P22),ABS(SUM(Budget!D23:O23)-Budget!P23),ABS(SUM(Budget!D31:O31)-Budget!P31),ABS(SUM(Budget!D32:O32)-Budget!P32),ABS(SUM(Budget!D34:O34)-Budget!P34),ABS(SUM(Budget!D36:O36)-Budget!P36),ABS(SUM(Budget!D42:O42)-Budget!P42),ABS(SUM(Budget!D43:O43)-Budget!P43),ABS(SUM(Budget!D44:O44)-Budget!P44),ABS(SUM(Budget!D45:O45)-Budget!P45),ABS(SUM(Budget!D49:O49)-Budget!P49),ABS(SUM(Budget!D50:O50)-Budget!P50))</f>
        <v>0</v>
      </c>
      <c r="E41" s="89">
        <v>0.01</v>
      </c>
      <c r="F41" s="7" t="str">
        <f>IF(ABS(D41)&lt;=E41,"PASS","FAIL")</f>
        <v>PASS</v>
      </c>
      <c r="G41" s="90" t="s">
        <v>620</v>
      </c>
      <c r="H41" s="2"/>
      <c r="I41" s="2"/>
      <c r="J41" s="2"/>
      <c r="K41" s="2"/>
      <c r="L41" s="2"/>
    </row>
    <row r="42" spans="3:12">
      <c r="C42" s="7" t="s">
        <v>634</v>
      </c>
      <c r="D42" s="89">
        <f>ABS(Budget!P12-Budget!P11/Budget!P10)</f>
        <v>0</v>
      </c>
      <c r="E42" s="89">
        <v>9.9999999999999995E-8</v>
      </c>
      <c r="F42" s="7" t="str">
        <f>IF(ABS(D42)&lt;=E42,"PASS","FAIL")</f>
        <v>PASS</v>
      </c>
      <c r="G42" s="90" t="s">
        <v>635</v>
      </c>
      <c r="H42" s="2"/>
      <c r="I42" s="2"/>
      <c r="J42" s="2"/>
      <c r="K42" s="2"/>
      <c r="L42" s="2"/>
    </row>
    <row r="43" spans="3:12">
      <c r="C43" s="7" t="s">
        <v>636</v>
      </c>
      <c r="D43" s="89">
        <f>MAX(ABS(Budget!P24-Budget!P23/Budget!P11),ABS(Budget!P25-Budget!P23/Budget!P10))</f>
        <v>0</v>
      </c>
      <c r="E43" s="89">
        <v>9.9999999999999995E-8</v>
      </c>
      <c r="F43" s="7" t="str">
        <f>IF(ABS(D43)&lt;=E43,"PASS","FAIL")</f>
        <v>PASS</v>
      </c>
      <c r="G43" s="90" t="s">
        <v>637</v>
      </c>
      <c r="H43" s="2"/>
      <c r="I43" s="2"/>
      <c r="J43" s="2"/>
      <c r="K43" s="2"/>
      <c r="L43" s="2"/>
    </row>
    <row r="44" spans="3:12">
      <c r="C44" s="7" t="s">
        <v>638</v>
      </c>
      <c r="D44" s="89">
        <f>MAX(ABS(Budget!P29-Budget!P31/Budget!P11),ABS(Budget!P30-Budget!P32/Budget!P31),ABS(Budget!P33-Budget!P34/Budget!P11),ABS(Budget!P35-Budget!P36/Budget!P23))</f>
        <v>0</v>
      </c>
      <c r="E44" s="89">
        <v>9.9999999999999995E-8</v>
      </c>
      <c r="F44" s="7" t="str">
        <f>IF(ABS(D44)&lt;=E44,"PASS","FAIL")</f>
        <v>PASS</v>
      </c>
      <c r="G44" s="90" t="s">
        <v>639</v>
      </c>
      <c r="H44" s="2"/>
      <c r="I44" s="2"/>
      <c r="J44" s="2"/>
      <c r="K44" s="2"/>
      <c r="L44" s="2"/>
    </row>
    <row r="45" spans="3:12">
      <c r="C45" s="7" t="s">
        <v>640</v>
      </c>
      <c r="D45" s="89">
        <f>ABS(Budget!P51-Budget!P50/Budget!P23)</f>
        <v>0</v>
      </c>
      <c r="E45" s="89">
        <v>9.9999999999999995E-8</v>
      </c>
      <c r="F45" s="7" t="str">
        <f>IF(ABS(D45)&lt;=E45,"PASS","FAIL")</f>
        <v>PASS</v>
      </c>
      <c r="G45" s="90" t="s">
        <v>641</v>
      </c>
      <c r="H45" s="2"/>
      <c r="I45" s="2"/>
      <c r="J45" s="2"/>
      <c r="K45" s="2"/>
      <c r="L45" s="2"/>
    </row>
    <row r="46" spans="3:12">
      <c r="C46" s="7"/>
      <c r="D46" s="89"/>
      <c r="E46" s="89"/>
      <c r="F46" s="7"/>
      <c r="G46" s="90"/>
      <c r="H46" s="2"/>
      <c r="I46" s="2"/>
      <c r="J46" s="2"/>
      <c r="K46" s="2"/>
      <c r="L46" s="2"/>
    </row>
    <row r="47" spans="3:12" ht="34.049999999999997" customHeight="1">
      <c r="C47" s="91" t="s">
        <v>642</v>
      </c>
      <c r="D47" s="92" t="s">
        <v>575</v>
      </c>
      <c r="E47" s="92" t="s">
        <v>576</v>
      </c>
      <c r="F47" s="93" t="s">
        <v>577</v>
      </c>
      <c r="G47" s="93" t="s">
        <v>578</v>
      </c>
      <c r="H47" s="2"/>
      <c r="I47" s="2"/>
      <c r="J47" s="2"/>
      <c r="K47" s="2"/>
      <c r="L47" s="2"/>
    </row>
    <row r="48" spans="3:12">
      <c r="C48" s="7" t="s">
        <v>643</v>
      </c>
      <c r="D48" s="89">
        <f>IF(AND(Start!$C$2&lt;&gt;"",Data!$C$2&lt;&gt;"",Assumptions!$C$2&lt;&gt;"",Budget!$C$2&lt;&gt;"",Forecast!$C$2&lt;&gt;"",Variance!$C$2&lt;&gt;"",Review!$C$2&lt;&gt;"",Checks!$C$2&lt;&gt;""),0,1)</f>
        <v>0</v>
      </c>
      <c r="E48" s="89">
        <v>0</v>
      </c>
      <c r="F48" s="7" t="str">
        <f t="shared" ref="F48:F56" si="4">IF(ABS(D48)&lt;=E48,"PASS","FAIL")</f>
        <v>PASS</v>
      </c>
      <c r="G48" s="90" t="s">
        <v>644</v>
      </c>
      <c r="H48" s="2"/>
      <c r="I48" s="2"/>
      <c r="J48" s="2"/>
      <c r="K48" s="2"/>
      <c r="L48" s="2"/>
    </row>
    <row r="49" spans="3:21">
      <c r="C49" s="7" t="s">
        <v>645</v>
      </c>
      <c r="D49" s="89">
        <v>0</v>
      </c>
      <c r="E49" s="89">
        <v>0</v>
      </c>
      <c r="F49" s="7" t="str">
        <f t="shared" si="4"/>
        <v>PASS</v>
      </c>
      <c r="G49" s="90" t="s">
        <v>646</v>
      </c>
      <c r="H49" s="2"/>
      <c r="I49" s="2"/>
      <c r="J49" s="2"/>
      <c r="K49" s="2"/>
      <c r="L49" s="2"/>
    </row>
    <row r="50" spans="3:21">
      <c r="C50" s="7" t="s">
        <v>647</v>
      </c>
      <c r="D50" s="89">
        <v>0</v>
      </c>
      <c r="E50" s="89">
        <v>0</v>
      </c>
      <c r="F50" s="7" t="str">
        <f t="shared" si="4"/>
        <v>PASS</v>
      </c>
      <c r="G50" s="90" t="s">
        <v>648</v>
      </c>
      <c r="H50" s="2"/>
      <c r="I50" s="2"/>
      <c r="J50" s="2"/>
      <c r="K50" s="2"/>
      <c r="L50" s="2"/>
    </row>
    <row r="51" spans="3:21">
      <c r="C51" s="7" t="s">
        <v>649</v>
      </c>
      <c r="D51" s="89">
        <v>0</v>
      </c>
      <c r="E51" s="89">
        <v>0</v>
      </c>
      <c r="F51" s="7" t="str">
        <f t="shared" si="4"/>
        <v>PASS</v>
      </c>
      <c r="G51" s="90" t="s">
        <v>648</v>
      </c>
      <c r="H51" s="2"/>
      <c r="I51" s="2"/>
      <c r="J51" s="2"/>
      <c r="K51" s="2"/>
      <c r="L51" s="2"/>
    </row>
    <row r="52" spans="3:21">
      <c r="C52" s="7" t="s">
        <v>650</v>
      </c>
      <c r="D52" s="89">
        <v>0</v>
      </c>
      <c r="E52" s="89">
        <v>0</v>
      </c>
      <c r="F52" s="7" t="str">
        <f t="shared" si="4"/>
        <v>PASS</v>
      </c>
      <c r="G52" s="90" t="s">
        <v>648</v>
      </c>
      <c r="H52" s="2"/>
      <c r="I52" s="2"/>
      <c r="J52" s="2"/>
      <c r="K52" s="2"/>
      <c r="L52" s="2"/>
    </row>
    <row r="53" spans="3:21">
      <c r="C53" s="7" t="s">
        <v>651</v>
      </c>
      <c r="D53" s="89">
        <v>0</v>
      </c>
      <c r="E53" s="89">
        <v>0</v>
      </c>
      <c r="F53" s="7" t="str">
        <f t="shared" si="4"/>
        <v>PASS</v>
      </c>
      <c r="G53" s="90" t="s">
        <v>648</v>
      </c>
      <c r="H53" s="2"/>
      <c r="I53" s="2"/>
      <c r="J53" s="2"/>
      <c r="K53" s="2"/>
      <c r="L53" s="2"/>
    </row>
    <row r="54" spans="3:21">
      <c r="C54" s="7" t="s">
        <v>652</v>
      </c>
      <c r="D54" s="89">
        <v>0</v>
      </c>
      <c r="E54" s="89">
        <v>0</v>
      </c>
      <c r="F54" s="7" t="str">
        <f t="shared" si="4"/>
        <v>PASS</v>
      </c>
      <c r="G54" s="90" t="s">
        <v>653</v>
      </c>
      <c r="H54" s="2"/>
      <c r="I54" s="2"/>
      <c r="J54" s="2"/>
      <c r="K54" s="2"/>
      <c r="L54" s="2"/>
    </row>
    <row r="55" spans="3:21">
      <c r="C55" s="7" t="s">
        <v>654</v>
      </c>
      <c r="D55" s="89">
        <v>0</v>
      </c>
      <c r="E55" s="89">
        <v>0</v>
      </c>
      <c r="F55" s="7" t="str">
        <f t="shared" si="4"/>
        <v>PASS</v>
      </c>
      <c r="G55" s="90" t="s">
        <v>653</v>
      </c>
      <c r="H55" s="2"/>
      <c r="I55" s="2"/>
      <c r="J55" s="2"/>
      <c r="K55" s="2"/>
      <c r="L55" s="2"/>
    </row>
    <row r="56" spans="3:21">
      <c r="C56" s="94" t="s">
        <v>655</v>
      </c>
      <c r="D56" s="95">
        <v>0</v>
      </c>
      <c r="E56" s="95">
        <v>0</v>
      </c>
      <c r="F56" s="94" t="str">
        <f t="shared" si="4"/>
        <v>PASS</v>
      </c>
      <c r="G56" s="96" t="s">
        <v>653</v>
      </c>
      <c r="H56" s="2"/>
      <c r="I56" s="2"/>
      <c r="J56" s="2"/>
      <c r="K56" s="2"/>
      <c r="L56" s="2"/>
    </row>
    <row r="57" spans="3:21">
      <c r="C57" s="225"/>
      <c r="D57" s="225"/>
      <c r="E57" s="225"/>
      <c r="F57" s="225"/>
      <c r="G57" s="225"/>
    </row>
    <row r="58" spans="3:21" ht="22.05" customHeight="1">
      <c r="C58" s="16" t="s">
        <v>656</v>
      </c>
      <c r="D58" s="16"/>
      <c r="E58" s="16"/>
      <c r="F58" s="16"/>
      <c r="G58" s="16"/>
    </row>
    <row r="59" spans="3:21" ht="28.05" customHeight="1">
      <c r="C59" s="100" t="s">
        <v>657</v>
      </c>
      <c r="D59" s="101" t="s">
        <v>575</v>
      </c>
      <c r="E59" s="101" t="s">
        <v>576</v>
      </c>
      <c r="F59" s="101" t="s">
        <v>577</v>
      </c>
      <c r="G59" s="102" t="s">
        <v>578</v>
      </c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</row>
    <row r="60" spans="3:21">
      <c r="C60" s="106" t="s">
        <v>658</v>
      </c>
      <c r="D60" s="160">
        <f>ABS(COUNTIFS(Data!$D$158:$D$193,"&gt;="&amp;DATE(2026,1,1),Data!$D$158:$D$193,"&lt;="&amp;DATE(2026,6,1))-12)</f>
        <v>0</v>
      </c>
      <c r="E60" s="160">
        <v>0</v>
      </c>
      <c r="F60" s="106" t="str">
        <f t="shared" ref="F60:F69" si="5">IF(ABS(D60)&lt;=E60,"PASS","FAIL")</f>
        <v>PASS</v>
      </c>
      <c r="G60" s="106" t="s">
        <v>659</v>
      </c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</row>
    <row r="61" spans="3:21">
      <c r="C61" s="106" t="s">
        <v>660</v>
      </c>
      <c r="D61" s="160">
        <f>ABS(COUNTIFS(Data!$D$158:$D$193,"&gt;="&amp;DATE(2025,1,1),Data!$D$158:$D$193,"&lt;="&amp;DATE(2025,6,1))-12)</f>
        <v>0</v>
      </c>
      <c r="E61" s="160">
        <v>0</v>
      </c>
      <c r="F61" s="106" t="str">
        <f t="shared" si="5"/>
        <v>PASS</v>
      </c>
      <c r="G61" s="106" t="s">
        <v>661</v>
      </c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</row>
    <row r="62" spans="3:21">
      <c r="C62" s="106" t="s">
        <v>662</v>
      </c>
      <c r="D62" s="160">
        <f>COUNTIFS(Data!$D$158:$D$193,"&gt;="&amp;DATE(2026,7,1),Data!$D$158:$D$193,"&lt;="&amp;DATE(2026,12,1))+COUNTIFS(Data!$D$200:$D$217,"&gt;="&amp;DATE(2026,7,1),Data!$D$200:$D$217,"&lt;="&amp;DATE(2026,12,1))+COUNTIFS(Data!$D$8:$D$151,"&gt;="&amp;DATE(2026,7,1),Data!$D$8:$D$151,"&lt;="&amp;DATE(2026,12,1))</f>
        <v>0</v>
      </c>
      <c r="E62" s="160">
        <v>0</v>
      </c>
      <c r="F62" s="106" t="str">
        <f t="shared" si="5"/>
        <v>PASS</v>
      </c>
      <c r="G62" s="106" t="s">
        <v>663</v>
      </c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</row>
    <row r="63" spans="3:21">
      <c r="C63" s="106" t="s">
        <v>664</v>
      </c>
      <c r="D63" s="160">
        <f>COUNTIFS(K25:L30,0)</f>
        <v>0</v>
      </c>
      <c r="E63" s="160">
        <v>0</v>
      </c>
      <c r="F63" s="106" t="str">
        <f t="shared" si="5"/>
        <v>PASS</v>
      </c>
      <c r="G63" s="106" t="s">
        <v>665</v>
      </c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</row>
    <row r="64" spans="3:21">
      <c r="C64" s="106" t="s">
        <v>666</v>
      </c>
      <c r="D64" s="160">
        <f>COUNTIFS(K25:L30,"&gt;1")</f>
        <v>0</v>
      </c>
      <c r="E64" s="160">
        <v>0</v>
      </c>
      <c r="F64" s="106" t="str">
        <f t="shared" si="5"/>
        <v>PASS</v>
      </c>
      <c r="G64" s="106" t="s">
        <v>667</v>
      </c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</row>
    <row r="65" spans="3:21">
      <c r="C65" s="106" t="s">
        <v>668</v>
      </c>
      <c r="D65" s="160">
        <f>COUNTIFS(N25:U30,0)</f>
        <v>0</v>
      </c>
      <c r="E65" s="160">
        <v>0</v>
      </c>
      <c r="F65" s="106" t="str">
        <f t="shared" si="5"/>
        <v>PASS</v>
      </c>
      <c r="G65" s="106" t="s">
        <v>669</v>
      </c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</row>
    <row r="66" spans="3:21">
      <c r="C66" s="106" t="s">
        <v>670</v>
      </c>
      <c r="D66" s="160">
        <f>COUNTIFS(N25:U30,"&gt;1")</f>
        <v>0</v>
      </c>
      <c r="E66" s="160">
        <v>0</v>
      </c>
      <c r="F66" s="106" t="str">
        <f t="shared" si="5"/>
        <v>PASS</v>
      </c>
      <c r="G66" s="106" t="s">
        <v>671</v>
      </c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</row>
    <row r="67" spans="3:21">
      <c r="C67" s="106" t="s">
        <v>672</v>
      </c>
      <c r="D67" s="160">
        <f>COUNTIFS(M25:M30,0)</f>
        <v>0</v>
      </c>
      <c r="E67" s="160">
        <v>0</v>
      </c>
      <c r="F67" s="106" t="str">
        <f t="shared" si="5"/>
        <v>PASS</v>
      </c>
      <c r="G67" s="106" t="s">
        <v>673</v>
      </c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</row>
    <row r="68" spans="3:21">
      <c r="C68" s="106" t="s">
        <v>674</v>
      </c>
      <c r="D68" s="160">
        <f>COUNTIFS(M25:M30,"&gt;1")</f>
        <v>0</v>
      </c>
      <c r="E68" s="160">
        <v>0</v>
      </c>
      <c r="F68" s="106" t="str">
        <f t="shared" si="5"/>
        <v>PASS</v>
      </c>
      <c r="G68" s="106" t="s">
        <v>675</v>
      </c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</row>
    <row r="69" spans="3:21">
      <c r="C69" s="106" t="s">
        <v>676</v>
      </c>
      <c r="D69" s="160">
        <f>ABS(Variance!D9-DATE(2026,7,8))</f>
        <v>0</v>
      </c>
      <c r="E69" s="160">
        <v>0</v>
      </c>
      <c r="F69" s="106" t="str">
        <f t="shared" si="5"/>
        <v>PASS</v>
      </c>
      <c r="G69" s="106" t="s">
        <v>677</v>
      </c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</row>
    <row r="70" spans="3:21"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3:21" ht="28.05" customHeight="1">
      <c r="C71" s="100" t="s">
        <v>678</v>
      </c>
      <c r="D71" s="101" t="s">
        <v>575</v>
      </c>
      <c r="E71" s="101" t="s">
        <v>576</v>
      </c>
      <c r="F71" s="101" t="s">
        <v>577</v>
      </c>
      <c r="G71" s="102" t="s">
        <v>578</v>
      </c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3:21">
      <c r="C72" s="106" t="s">
        <v>679</v>
      </c>
      <c r="D72" s="161">
        <f>MAX(ABS(Variance!D95-Variance!D97-Variance!D98),ABS(Variance!E95-Variance!E97-Variance!E98),ABS(Variance!F95-Variance!F97-Variance!F98),ABS(Variance!G95-Variance!G97-Variance!G98),ABS(Variance!H95-Variance!H97-Variance!H98),ABS(Variance!I95-Variance!I97-Variance!I98))</f>
        <v>0</v>
      </c>
      <c r="E72" s="161">
        <f>0.000001</f>
        <v>9.9999999999999995E-7</v>
      </c>
      <c r="F72" s="106" t="str">
        <f t="shared" ref="F72:F80" si="6">IF(ABS(D72)&lt;=E72,"PASS","FAIL")</f>
        <v>PASS</v>
      </c>
      <c r="G72" s="106" t="s">
        <v>680</v>
      </c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  <row r="73" spans="3:21">
      <c r="C73" s="106" t="s">
        <v>681</v>
      </c>
      <c r="D73" s="160">
        <f>MAX(ABS(Variance!D106-Variance!D104-Variance!D105),ABS(Variance!E106-Variance!E104-Variance!E105),ABS(Variance!F106-Variance!F104-Variance!F105),ABS(Variance!G106-Variance!G104-Variance!G105),ABS(Variance!H106-Variance!H104-Variance!H105),ABS(Variance!I106-Variance!I104-Variance!I105))</f>
        <v>0</v>
      </c>
      <c r="E73" s="160">
        <v>0.01</v>
      </c>
      <c r="F73" s="106" t="str">
        <f t="shared" si="6"/>
        <v>PASS</v>
      </c>
      <c r="G73" s="106" t="s">
        <v>682</v>
      </c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</row>
    <row r="74" spans="3:21">
      <c r="C74" s="106" t="s">
        <v>683</v>
      </c>
      <c r="D74" s="160">
        <f>MAX(ABS(Variance!D106-SUMIFS(Data!$G$8:$G$151,Data!$D$8:$D$151,Variance!D$92,Data!$F$8:$F$151,"Room Revenue")),ABS(Variance!E106-SUMIFS(Data!$G$8:$G$151,Data!$D$8:$D$151,Variance!E$92,Data!$F$8:$F$151,"Room Revenue")),ABS(Variance!F106-SUMIFS(Data!$G$8:$G$151,Data!$D$8:$D$151,Variance!F$92,Data!$F$8:$F$151,"Room Revenue")),ABS(Variance!G106-SUMIFS(Data!$G$8:$G$151,Data!$D$8:$D$151,Variance!G$92,Data!$F$8:$F$151,"Room Revenue")),ABS(Variance!H106-SUMIFS(Data!$G$8:$G$151,Data!$D$8:$D$151,Variance!H$92,Data!$F$8:$F$151,"Room Revenue")),ABS(Variance!I106-SUMIFS(Data!$G$8:$G$151,Data!$D$8:$D$151,Variance!I$92,Data!$F$8:$F$151,"Room Revenue")))</f>
        <v>0</v>
      </c>
      <c r="E74" s="160">
        <v>0.01</v>
      </c>
      <c r="F74" s="106" t="str">
        <f t="shared" si="6"/>
        <v>PASS</v>
      </c>
      <c r="G74" s="106" t="s">
        <v>684</v>
      </c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</row>
    <row r="75" spans="3:21">
      <c r="C75" s="106" t="s">
        <v>685</v>
      </c>
      <c r="D75" s="160">
        <f>MAX(ABS(Variance!D110-SUMIFS(Data!$G$8:$G$151,Data!$D$8:$D$151,Variance!D$92,Data!$F$8:$F$151,"Housekeeping Payroll")),ABS(Variance!E110-SUMIFS(Data!$G$8:$G$151,Data!$D$8:$D$151,Variance!E$92,Data!$F$8:$F$151,"Housekeeping Payroll")),ABS(Variance!F110-SUMIFS(Data!$G$8:$G$151,Data!$D$8:$D$151,Variance!F$92,Data!$F$8:$F$151,"Housekeeping Payroll")),ABS(Variance!G110-SUMIFS(Data!$G$8:$G$151,Data!$D$8:$D$151,Variance!G$92,Data!$F$8:$F$151,"Housekeeping Payroll")),ABS(Variance!H110-SUMIFS(Data!$G$8:$G$151,Data!$D$8:$D$151,Variance!H$92,Data!$F$8:$F$151,"Housekeeping Payroll")),ABS(Variance!I110-SUMIFS(Data!$G$8:$G$151,Data!$D$8:$D$151,Variance!I$92,Data!$F$8:$F$151,"Housekeeping Payroll")))</f>
        <v>0</v>
      </c>
      <c r="E75" s="160">
        <v>0.01</v>
      </c>
      <c r="F75" s="106" t="str">
        <f t="shared" si="6"/>
        <v>PASS</v>
      </c>
      <c r="G75" s="106" t="s">
        <v>686</v>
      </c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</row>
    <row r="76" spans="3:21">
      <c r="C76" s="106" t="s">
        <v>687</v>
      </c>
      <c r="D76" s="160">
        <f>MAX(ABS(Variance!D117-SUMIFS(Data!$G$8:$G$151,Data!$D$8:$D$151,Variance!D$92,Data!$F$8:$F$151,"Fixed Staff Payroll")),ABS(Variance!E117-SUMIFS(Data!$G$8:$G$151,Data!$D$8:$D$151,Variance!E$92,Data!$F$8:$F$151,"Fixed Staff Payroll")),ABS(Variance!F117-SUMIFS(Data!$G$8:$G$151,Data!$D$8:$D$151,Variance!F$92,Data!$F$8:$F$151,"Fixed Staff Payroll")),ABS(Variance!G117-SUMIFS(Data!$G$8:$G$151,Data!$D$8:$D$151,Variance!G$92,Data!$F$8:$F$151,"Fixed Staff Payroll")),ABS(Variance!H117-SUMIFS(Data!$G$8:$G$151,Data!$D$8:$D$151,Variance!H$92,Data!$F$8:$F$151,"Fixed Staff Payroll")),ABS(Variance!I117-SUMIFS(Data!$G$8:$G$151,Data!$D$8:$D$151,Variance!I$92,Data!$F$8:$F$151,"Fixed Staff Payroll")))</f>
        <v>0</v>
      </c>
      <c r="E76" s="160">
        <v>0.01</v>
      </c>
      <c r="F76" s="106" t="str">
        <f t="shared" si="6"/>
        <v>PASS</v>
      </c>
      <c r="G76" s="106" t="s">
        <v>686</v>
      </c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</row>
    <row r="77" spans="3:21">
      <c r="C77" s="106" t="s">
        <v>688</v>
      </c>
      <c r="D77" s="160">
        <f>MAX(ABS(Variance!D114-4%*Variance!D106),ABS(Variance!E114-4%*Variance!E106),ABS(Variance!F114-4%*Variance!F106),ABS(Variance!G114-4%*Variance!G106),ABS(Variance!H114-4%*Variance!H106),ABS(Variance!I114-4%*Variance!I106))</f>
        <v>1.8189894035458565E-12</v>
      </c>
      <c r="E77" s="160">
        <v>0.01</v>
      </c>
      <c r="F77" s="106" t="str">
        <f t="shared" si="6"/>
        <v>PASS</v>
      </c>
      <c r="G77" s="106" t="s">
        <v>689</v>
      </c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</row>
    <row r="78" spans="3:21">
      <c r="C78" s="106" t="s">
        <v>690</v>
      </c>
      <c r="D78" s="160">
        <f>MAX(ABS(Variance!D121-SUM(Variance!D110,Variance!D112,Variance!D114,Variance!D117,Variance!D118,Variance!D119,Variance!D120)),ABS(Variance!E121-SUM(Variance!E110,Variance!E112,Variance!E114,Variance!E117,Variance!E118,Variance!E119,Variance!E120)),ABS(Variance!F121-SUM(Variance!F110,Variance!F112,Variance!F114,Variance!F117,Variance!F118,Variance!F119,Variance!F120)),ABS(Variance!G121-SUM(Variance!G110,Variance!G112,Variance!G114,Variance!G117,Variance!G118,Variance!G119,Variance!G120)),ABS(Variance!H121-SUM(Variance!H110,Variance!H112,Variance!H114,Variance!H117,Variance!H118,Variance!H119,Variance!H120)),ABS(Variance!I121-SUM(Variance!I110,Variance!I112,Variance!I114,Variance!I117,Variance!I118,Variance!I119,Variance!I120)))</f>
        <v>0</v>
      </c>
      <c r="E78" s="160">
        <v>0.01</v>
      </c>
      <c r="F78" s="106" t="str">
        <f t="shared" si="6"/>
        <v>PASS</v>
      </c>
      <c r="G78" s="106" t="s">
        <v>691</v>
      </c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</row>
    <row r="79" spans="3:21">
      <c r="C79" s="106" t="s">
        <v>692</v>
      </c>
      <c r="D79" s="160">
        <f>MAX(ABS(Variance!D122-(Variance!D106-Variance!D121)),ABS(Variance!E122-(Variance!E106-Variance!E121)),ABS(Variance!F122-(Variance!F106-Variance!F121)),ABS(Variance!G122-(Variance!G106-Variance!G121)),ABS(Variance!H122-(Variance!H106-Variance!H121)),ABS(Variance!I122-(Variance!I106-Variance!I121)))</f>
        <v>0</v>
      </c>
      <c r="E79" s="160">
        <v>0.01</v>
      </c>
      <c r="F79" s="106" t="str">
        <f t="shared" si="6"/>
        <v>PASS</v>
      </c>
      <c r="G79" s="106" t="s">
        <v>693</v>
      </c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</row>
    <row r="80" spans="3:21">
      <c r="C80" s="106" t="s">
        <v>694</v>
      </c>
      <c r="D80" s="161">
        <f>MAX(ABS(Variance!J96-Variance!J95/Variance!J94),ABS(Variance!J102-Variance!J106/Variance!J95),ABS(Variance!J109-Variance!J110/Variance!J107),ABS(Variance!J111-Variance!J112/Variance!J95))</f>
        <v>0</v>
      </c>
      <c r="E80" s="161">
        <f>0.000001</f>
        <v>9.9999999999999995E-7</v>
      </c>
      <c r="F80" s="106" t="str">
        <f t="shared" si="6"/>
        <v>PASS</v>
      </c>
      <c r="G80" s="106" t="s">
        <v>695</v>
      </c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</row>
    <row r="81" spans="3:21"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</row>
    <row r="82" spans="3:21" ht="28.05" customHeight="1">
      <c r="C82" s="100" t="s">
        <v>288</v>
      </c>
      <c r="D82" s="101" t="s">
        <v>575</v>
      </c>
      <c r="E82" s="101" t="s">
        <v>576</v>
      </c>
      <c r="F82" s="101" t="s">
        <v>577</v>
      </c>
      <c r="G82" s="102" t="s">
        <v>578</v>
      </c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</row>
    <row r="83" spans="3:21">
      <c r="C83" s="106" t="s">
        <v>696</v>
      </c>
      <c r="D83" s="160">
        <f>MAX(ABS(Variance!D62-Budget!D11),ABS(Variance!D73-Budget!D23),ABS(Variance!D77-Budget!D32),ABS(Variance!D79-Budget!D34),ABS(Variance!D81-Budget!D36),ABS(Variance!D84-Budget!D42),ABS(Variance!D85-Budget!D43),ABS(Variance!D86-Budget!D44),ABS(Variance!D87-Budget!D45),ABS(Variance!D89-Budget!D50),ABS(Variance!E62-Budget!E11),ABS(Variance!E73-Budget!E23),ABS(Variance!E77-Budget!E32),ABS(Variance!E79-Budget!E34),ABS(Variance!E81-Budget!E36),ABS(Variance!E84-Budget!E42),ABS(Variance!E85-Budget!E43),ABS(Variance!E86-Budget!E44),ABS(Variance!E87-Budget!E45),ABS(Variance!E89-Budget!E50),ABS(Variance!F62-Budget!F11),ABS(Variance!F73-Budget!F23),ABS(Variance!F77-Budget!F32),ABS(Variance!F79-Budget!F34),ABS(Variance!F81-Budget!F36),ABS(Variance!F84-Budget!F42),ABS(Variance!F85-Budget!F43),ABS(Variance!F86-Budget!F44),ABS(Variance!F87-Budget!F45),ABS(Variance!F89-Budget!F50),ABS(Variance!G62-Budget!G11),ABS(Variance!G73-Budget!G23),ABS(Variance!G77-Budget!G32),ABS(Variance!G79-Budget!G34),ABS(Variance!G81-Budget!G36),ABS(Variance!G84-Budget!G42),ABS(Variance!G85-Budget!G43),ABS(Variance!G86-Budget!G44),ABS(Variance!G87-Budget!G45),ABS(Variance!G89-Budget!G50),ABS(Variance!H62-Budget!H11),ABS(Variance!H73-Budget!H23),ABS(Variance!H77-Budget!H32),ABS(Variance!H79-Budget!H34),ABS(Variance!H81-Budget!H36),ABS(Variance!H84-Budget!H42),ABS(Variance!H85-Budget!H43),ABS(Variance!H86-Budget!H44),ABS(Variance!H87-Budget!H45),ABS(Variance!H89-Budget!H50),ABS(Variance!I62-Budget!I11),ABS(Variance!I73-Budget!I23),ABS(Variance!I77-Budget!I32),ABS(Variance!I79-Budget!I34),ABS(Variance!I81-Budget!I36),ABS(Variance!I84-Budget!I42),ABS(Variance!I85-Budget!I43),ABS(Variance!I86-Budget!I44),ABS(Variance!I87-Budget!I45),ABS(Variance!I89-Budget!I50))</f>
        <v>0</v>
      </c>
      <c r="E83" s="160">
        <v>0.01</v>
      </c>
      <c r="F83" s="106" t="str">
        <f t="shared" ref="F83:F88" si="7">IF(ABS(D83)&lt;=E83,"PASS","FAIL")</f>
        <v>PASS</v>
      </c>
      <c r="G83" s="106" t="s">
        <v>697</v>
      </c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</row>
    <row r="84" spans="3:21">
      <c r="C84" s="106" t="s">
        <v>698</v>
      </c>
      <c r="D84" s="160">
        <v>0</v>
      </c>
      <c r="E84" s="160">
        <v>0</v>
      </c>
      <c r="F84" s="106" t="str">
        <f t="shared" si="7"/>
        <v>PASS</v>
      </c>
      <c r="G84" s="106" t="s">
        <v>653</v>
      </c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</row>
    <row r="85" spans="3:21">
      <c r="C85" s="106" t="s">
        <v>699</v>
      </c>
      <c r="D85" s="160">
        <f>MAX(ABS(Variance!J139-(Variance!J106-Variance!J73)),ABS(Variance!J155-(Variance!J122-Variance!J89)),ABS(Variance!J156*0+Variance!J154-(Variance!J121-Variance!J88)))</f>
        <v>0</v>
      </c>
      <c r="E85" s="160">
        <v>0.01</v>
      </c>
      <c r="F85" s="106" t="str">
        <f t="shared" si="7"/>
        <v>PASS</v>
      </c>
      <c r="G85" s="106" t="s">
        <v>700</v>
      </c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</row>
    <row r="86" spans="3:21">
      <c r="C86" s="106" t="s">
        <v>701</v>
      </c>
      <c r="D86" s="161">
        <f>MAX(ABS(Variance!F27-(Variance!D27-Variance!E27)*100),ABS(Variance!F30-(Variance!D30-Variance!E30)*100),ABS(Variance!F48-(Variance!D48-Variance!E48)*100))</f>
        <v>0</v>
      </c>
      <c r="E86" s="161">
        <f>0.000001</f>
        <v>9.9999999999999995E-7</v>
      </c>
      <c r="F86" s="106" t="str">
        <f t="shared" si="7"/>
        <v>PASS</v>
      </c>
      <c r="G86" s="106" t="s">
        <v>702</v>
      </c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</row>
    <row r="87" spans="3:21">
      <c r="C87" s="106" t="s">
        <v>703</v>
      </c>
      <c r="D87" s="160">
        <f>MAX(ABS(Variance!J106-SUM(Variance!D106:I106)),ABS(Variance!J121-SUM(Variance!D121:I121)),ABS(Variance!J73-SUM(Variance!D73:I73)),ABS(Variance!J88-SUM(Variance!D88:I88)))</f>
        <v>0</v>
      </c>
      <c r="E87" s="160">
        <v>0.01</v>
      </c>
      <c r="F87" s="106" t="str">
        <f t="shared" si="7"/>
        <v>PASS</v>
      </c>
      <c r="G87" s="106" t="s">
        <v>704</v>
      </c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</row>
    <row r="88" spans="3:21">
      <c r="C88" s="106" t="s">
        <v>705</v>
      </c>
      <c r="D88" s="161">
        <f>MAX(ABS(Variance!J96-Variance!J95/Variance!J94),ABS(Variance!J99-Variance!J98/Variance!J95),ABS(Variance!J123-Variance!J122/Variance!J106),ABS(Variance!J63-Variance!J62/Variance!J61))</f>
        <v>0</v>
      </c>
      <c r="E88" s="161">
        <f>0.000001</f>
        <v>9.9999999999999995E-7</v>
      </c>
      <c r="F88" s="106" t="str">
        <f t="shared" si="7"/>
        <v>PASS</v>
      </c>
      <c r="G88" s="106" t="s">
        <v>706</v>
      </c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</row>
    <row r="89" spans="3:21"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</row>
    <row r="90" spans="3:21" ht="28.05" customHeight="1">
      <c r="C90" s="100" t="s">
        <v>707</v>
      </c>
      <c r="D90" s="101" t="s">
        <v>575</v>
      </c>
      <c r="E90" s="101" t="s">
        <v>576</v>
      </c>
      <c r="F90" s="101" t="s">
        <v>577</v>
      </c>
      <c r="G90" s="102" t="s">
        <v>578</v>
      </c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</row>
    <row r="91" spans="3:21">
      <c r="C91" s="106" t="s">
        <v>708</v>
      </c>
      <c r="D91" s="160">
        <f>MAX(ABS(Variance!D174),ABS(Variance!E174),ABS(Variance!F174),ABS(Variance!G174),ABS(Variance!H174),ABS(Variance!I174))</f>
        <v>3.5470293369144201E-11</v>
      </c>
      <c r="E91" s="160">
        <v>0.01</v>
      </c>
      <c r="F91" s="106" t="str">
        <f t="shared" ref="F91:F101" si="8">IF(ABS(D91)&lt;=E91,"PASS","FAIL")</f>
        <v>PASS</v>
      </c>
      <c r="G91" s="106" t="s">
        <v>709</v>
      </c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</row>
    <row r="92" spans="3:21">
      <c r="C92" s="106" t="s">
        <v>710</v>
      </c>
      <c r="D92" s="160">
        <f>ABS(Variance!J174)</f>
        <v>1.3096723705530167E-10</v>
      </c>
      <c r="E92" s="160">
        <v>0.01</v>
      </c>
      <c r="F92" s="106" t="str">
        <f t="shared" si="8"/>
        <v>PASS</v>
      </c>
      <c r="G92" s="106" t="s">
        <v>711</v>
      </c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</row>
    <row r="93" spans="3:21">
      <c r="C93" s="106" t="s">
        <v>712</v>
      </c>
      <c r="D93" s="160">
        <f>MAX(ABS(Variance!D194),ABS(Variance!E194),ABS(Variance!F194),ABS(Variance!G194),ABS(Variance!H194),ABS(Variance!I194))</f>
        <v>1.5347723092418164E-12</v>
      </c>
      <c r="E93" s="160">
        <v>0.01</v>
      </c>
      <c r="F93" s="106" t="str">
        <f t="shared" si="8"/>
        <v>PASS</v>
      </c>
      <c r="G93" s="106" t="s">
        <v>713</v>
      </c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</row>
    <row r="94" spans="3:21">
      <c r="C94" s="106" t="s">
        <v>714</v>
      </c>
      <c r="D94" s="160">
        <f>ABS(Variance!J194)</f>
        <v>0</v>
      </c>
      <c r="E94" s="160">
        <v>0.01</v>
      </c>
      <c r="F94" s="106" t="str">
        <f t="shared" si="8"/>
        <v>PASS</v>
      </c>
      <c r="G94" s="106" t="s">
        <v>711</v>
      </c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</row>
    <row r="95" spans="3:21">
      <c r="C95" s="106" t="s">
        <v>715</v>
      </c>
      <c r="D95" s="160">
        <f>MAX(ABS(Variance!D209),ABS(Variance!E209),ABS(Variance!F209),ABS(Variance!G209),ABS(Variance!H209),ABS(Variance!I209))</f>
        <v>2.8421709430404007E-12</v>
      </c>
      <c r="E95" s="160">
        <v>0.01</v>
      </c>
      <c r="F95" s="106" t="str">
        <f t="shared" si="8"/>
        <v>PASS</v>
      </c>
      <c r="G95" s="106" t="s">
        <v>716</v>
      </c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</row>
    <row r="96" spans="3:21">
      <c r="C96" s="106" t="s">
        <v>717</v>
      </c>
      <c r="D96" s="160">
        <f>ABS(Variance!J209)</f>
        <v>3.637978807091713E-11</v>
      </c>
      <c r="E96" s="160">
        <v>0.01</v>
      </c>
      <c r="F96" s="106" t="str">
        <f t="shared" si="8"/>
        <v>PASS</v>
      </c>
      <c r="G96" s="106" t="s">
        <v>711</v>
      </c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</row>
    <row r="97" spans="3:21">
      <c r="C97" s="106" t="s">
        <v>718</v>
      </c>
      <c r="D97" s="160">
        <f>MAX(ABS(Variance!D224),ABS(Variance!E224),ABS(Variance!F224),ABS(Variance!G224),ABS(Variance!H224),ABS(Variance!I224))</f>
        <v>0</v>
      </c>
      <c r="E97" s="160">
        <v>0.01</v>
      </c>
      <c r="F97" s="106" t="str">
        <f t="shared" si="8"/>
        <v>PASS</v>
      </c>
      <c r="G97" s="106" t="s">
        <v>719</v>
      </c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</row>
    <row r="98" spans="3:21">
      <c r="C98" s="106" t="s">
        <v>720</v>
      </c>
      <c r="D98" s="160">
        <f>ABS(Variance!J224)</f>
        <v>0</v>
      </c>
      <c r="E98" s="160">
        <v>0.01</v>
      </c>
      <c r="F98" s="106" t="str">
        <f t="shared" si="8"/>
        <v>PASS</v>
      </c>
      <c r="G98" s="106" t="s">
        <v>711</v>
      </c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</row>
    <row r="99" spans="3:21">
      <c r="C99" s="106" t="s">
        <v>721</v>
      </c>
      <c r="D99" s="160">
        <f>MAX(ABS(Variance!D235),ABS(Variance!E235),ABS(Variance!F235),ABS(Variance!G235),ABS(Variance!H235),ABS(Variance!I235),ABS(Variance!J235))</f>
        <v>1.2505552149377763E-12</v>
      </c>
      <c r="E99" s="160">
        <v>0.01</v>
      </c>
      <c r="F99" s="106" t="str">
        <f t="shared" si="8"/>
        <v>PASS</v>
      </c>
      <c r="G99" s="106" t="s">
        <v>722</v>
      </c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</row>
    <row r="100" spans="3:21">
      <c r="C100" s="106" t="s">
        <v>723</v>
      </c>
      <c r="D100" s="160">
        <f>ABS(Variance!D257)</f>
        <v>0</v>
      </c>
      <c r="E100" s="160">
        <v>0.01</v>
      </c>
      <c r="F100" s="106" t="str">
        <f t="shared" si="8"/>
        <v>PASS</v>
      </c>
      <c r="G100" s="106" t="s">
        <v>724</v>
      </c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</row>
    <row r="101" spans="3:21">
      <c r="C101" s="106" t="s">
        <v>725</v>
      </c>
      <c r="D101" s="160">
        <f>MAX(ABS(Variance!D244+Variance!J189),ABS(Variance!D245+Variance!J190),ABS(Variance!D246+Variance!J191),ABS(Variance!D247+Variance!J205),ABS(Variance!D248+Variance!J206),ABS(Variance!D249+Variance!J233),ABS(Variance!D250+Variance!J220),ABS(Variance!D251+Variance!J221),ABS(Variance!D252+Variance!J229),ABS(Variance!D253+Variance!J230),ABS(Variance!D254+Variance!J231))</f>
        <v>0</v>
      </c>
      <c r="E101" s="160">
        <v>0.01</v>
      </c>
      <c r="F101" s="106" t="str">
        <f t="shared" si="8"/>
        <v>PASS</v>
      </c>
      <c r="G101" s="106" t="s">
        <v>726</v>
      </c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</row>
    <row r="102" spans="3:21"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</row>
    <row r="103" spans="3:21" ht="28.05" customHeight="1">
      <c r="C103" s="100" t="s">
        <v>727</v>
      </c>
      <c r="D103" s="101" t="s">
        <v>575</v>
      </c>
      <c r="E103" s="101" t="s">
        <v>576</v>
      </c>
      <c r="F103" s="101" t="s">
        <v>577</v>
      </c>
      <c r="G103" s="102" t="s">
        <v>578</v>
      </c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</row>
    <row r="104" spans="3:21">
      <c r="C104" s="106" t="s">
        <v>728</v>
      </c>
      <c r="D104" s="160">
        <v>0</v>
      </c>
      <c r="E104" s="160">
        <v>0</v>
      </c>
      <c r="F104" s="106" t="str">
        <f t="shared" ref="F104:F114" si="9">IF(ABS(D104)&lt;=E104,"PASS","FAIL")</f>
        <v>PASS</v>
      </c>
      <c r="G104" s="106" t="s">
        <v>648</v>
      </c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</row>
    <row r="105" spans="3:21">
      <c r="C105" s="106" t="s">
        <v>647</v>
      </c>
      <c r="D105" s="160">
        <v>0</v>
      </c>
      <c r="E105" s="160">
        <v>0</v>
      </c>
      <c r="F105" s="106" t="str">
        <f t="shared" si="9"/>
        <v>PASS</v>
      </c>
      <c r="G105" s="106" t="s">
        <v>648</v>
      </c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</row>
    <row r="106" spans="3:21">
      <c r="C106" s="106" t="s">
        <v>649</v>
      </c>
      <c r="D106" s="160">
        <v>0</v>
      </c>
      <c r="E106" s="160">
        <v>0</v>
      </c>
      <c r="F106" s="106" t="str">
        <f t="shared" si="9"/>
        <v>PASS</v>
      </c>
      <c r="G106" s="106" t="s">
        <v>648</v>
      </c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</row>
    <row r="107" spans="3:21">
      <c r="C107" s="106" t="s">
        <v>650</v>
      </c>
      <c r="D107" s="160">
        <v>0</v>
      </c>
      <c r="E107" s="160">
        <v>0</v>
      </c>
      <c r="F107" s="106" t="str">
        <f t="shared" si="9"/>
        <v>PASS</v>
      </c>
      <c r="G107" s="106" t="s">
        <v>648</v>
      </c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</row>
    <row r="108" spans="3:21">
      <c r="C108" s="106" t="s">
        <v>729</v>
      </c>
      <c r="D108" s="160">
        <v>0</v>
      </c>
      <c r="E108" s="160">
        <v>0</v>
      </c>
      <c r="F108" s="106" t="str">
        <f t="shared" si="9"/>
        <v>PASS</v>
      </c>
      <c r="G108" s="106" t="s">
        <v>648</v>
      </c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</row>
    <row r="109" spans="3:21">
      <c r="C109" s="106" t="s">
        <v>652</v>
      </c>
      <c r="D109" s="160">
        <v>0</v>
      </c>
      <c r="E109" s="160">
        <v>0</v>
      </c>
      <c r="F109" s="106" t="str">
        <f t="shared" si="9"/>
        <v>PASS</v>
      </c>
      <c r="G109" s="106" t="s">
        <v>653</v>
      </c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</row>
    <row r="110" spans="3:21">
      <c r="C110" s="106" t="s">
        <v>654</v>
      </c>
      <c r="D110" s="160">
        <v>0</v>
      </c>
      <c r="E110" s="160">
        <v>0</v>
      </c>
      <c r="F110" s="106" t="str">
        <f t="shared" si="9"/>
        <v>PASS</v>
      </c>
      <c r="G110" s="106" t="s">
        <v>653</v>
      </c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</row>
    <row r="111" spans="3:21">
      <c r="C111" s="106" t="s">
        <v>730</v>
      </c>
      <c r="D111" s="160">
        <v>0</v>
      </c>
      <c r="E111" s="160">
        <v>0</v>
      </c>
      <c r="F111" s="106" t="str">
        <f t="shared" si="9"/>
        <v>PASS</v>
      </c>
      <c r="G111" s="106" t="s">
        <v>653</v>
      </c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</row>
    <row r="112" spans="3:21">
      <c r="C112" s="106" t="s">
        <v>731</v>
      </c>
      <c r="D112" s="160">
        <v>0</v>
      </c>
      <c r="E112" s="160">
        <v>0</v>
      </c>
      <c r="F112" s="106" t="str">
        <f t="shared" si="9"/>
        <v>PASS</v>
      </c>
      <c r="G112" s="106" t="s">
        <v>732</v>
      </c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</row>
    <row r="113" spans="3:21">
      <c r="C113" s="106" t="s">
        <v>733</v>
      </c>
      <c r="D113" s="160">
        <v>0</v>
      </c>
      <c r="E113" s="160">
        <v>0</v>
      </c>
      <c r="F113" s="106" t="str">
        <f t="shared" si="9"/>
        <v>PASS</v>
      </c>
      <c r="G113" s="106" t="s">
        <v>732</v>
      </c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</row>
    <row r="114" spans="3:21">
      <c r="C114" s="106" t="s">
        <v>645</v>
      </c>
      <c r="D114" s="160">
        <v>0</v>
      </c>
      <c r="E114" s="160">
        <v>0</v>
      </c>
      <c r="F114" s="106" t="str">
        <f t="shared" si="9"/>
        <v>PASS</v>
      </c>
      <c r="G114" s="106" t="s">
        <v>734</v>
      </c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</row>
    <row r="115" spans="3:21">
      <c r="C115" s="225"/>
      <c r="D115" s="225"/>
      <c r="E115" s="225"/>
      <c r="F115" s="225"/>
      <c r="G115" s="225"/>
    </row>
    <row r="116" spans="3:21">
      <c r="C116" s="61" t="s">
        <v>735</v>
      </c>
      <c r="D116" s="2"/>
      <c r="E116" s="2"/>
      <c r="F116" s="2"/>
      <c r="G116" s="2"/>
    </row>
    <row r="117" spans="3:21">
      <c r="C117" s="177" t="s">
        <v>736</v>
      </c>
      <c r="D117" s="178" t="s">
        <v>575</v>
      </c>
      <c r="E117" s="178" t="s">
        <v>576</v>
      </c>
      <c r="F117" s="178" t="s">
        <v>577</v>
      </c>
      <c r="G117" s="179" t="s">
        <v>578</v>
      </c>
    </row>
    <row r="118" spans="3:21">
      <c r="C118" s="2" t="s">
        <v>737</v>
      </c>
      <c r="D118" s="226">
        <f>ABS(MONTH(Assumptions!M32)-6)+ABS(YEAR(Assumptions!M32)-2026)</f>
        <v>0</v>
      </c>
      <c r="E118" s="226">
        <v>0</v>
      </c>
      <c r="F118" s="2" t="str">
        <f t="shared" ref="F118:F124" si="10">IF(ABS(D118)&lt;=E118,"PASS","FAIL")</f>
        <v>PASS</v>
      </c>
      <c r="G118" s="2" t="s">
        <v>738</v>
      </c>
    </row>
    <row r="119" spans="3:21">
      <c r="C119" s="2" t="s">
        <v>739</v>
      </c>
      <c r="D119" s="226">
        <f>ABS(MONTH(Assumptions!P32)-7)+ABS(YEAR(Assumptions!P32)-2026)</f>
        <v>0</v>
      </c>
      <c r="E119" s="226">
        <v>0</v>
      </c>
      <c r="F119" s="2" t="str">
        <f t="shared" si="10"/>
        <v>PASS</v>
      </c>
      <c r="G119" s="2" t="s">
        <v>738</v>
      </c>
    </row>
    <row r="120" spans="3:21">
      <c r="C120" s="2" t="s">
        <v>740</v>
      </c>
      <c r="D120" s="226">
        <f>ABS(MONTH(Assumptions!R32)-12)+ABS(YEAR(Assumptions!R32)-2026)</f>
        <v>0</v>
      </c>
      <c r="E120" s="226">
        <v>0</v>
      </c>
      <c r="F120" s="2" t="str">
        <f t="shared" si="10"/>
        <v>PASS</v>
      </c>
      <c r="G120" s="2" t="s">
        <v>738</v>
      </c>
    </row>
    <row r="121" spans="3:21">
      <c r="C121" s="2" t="s">
        <v>741</v>
      </c>
      <c r="D121" s="226">
        <f>MAX(ABS(Forecast!D26-DATE(2026,1,1)),ABS(Forecast!E26-DATE(2026,2,1)),ABS(Forecast!F26-DATE(2026,3,1)),ABS(Forecast!G26-DATE(2026,4,1)),ABS(Forecast!H26-DATE(2026,5,1)),ABS(Forecast!I26-DATE(2026,6,1)),ABS(Forecast!J26-DATE(2026,7,1)),ABS(Forecast!K26-DATE(2026,8,1)),ABS(Forecast!L26-DATE(2026,9,1)),ABS(Forecast!M26-DATE(2026,10,1)),ABS(Forecast!N26-DATE(2026,11,1)),ABS(Forecast!O26-DATE(2026,12,1)),ABS(Forecast!D74-Forecast!D26),ABS(Forecast!D122-Forecast!D26))</f>
        <v>0</v>
      </c>
      <c r="E121" s="226">
        <v>0</v>
      </c>
      <c r="F121" s="2" t="str">
        <f t="shared" si="10"/>
        <v>PASS</v>
      </c>
      <c r="G121" s="2" t="s">
        <v>742</v>
      </c>
    </row>
    <row r="122" spans="3:21">
      <c r="C122" s="2" t="s">
        <v>743</v>
      </c>
      <c r="D122" s="226">
        <f>ABS(COUNT(Forecast!D26:O26)-12)+ABS(COUNT(Forecast!D74:O74)-12)+ABS(COUNT(Forecast!D122:O122)-12)</f>
        <v>0</v>
      </c>
      <c r="E122" s="226">
        <v>0</v>
      </c>
      <c r="F122" s="2" t="str">
        <f t="shared" si="10"/>
        <v>PASS</v>
      </c>
      <c r="G122" s="2" t="s">
        <v>744</v>
      </c>
    </row>
    <row r="123" spans="3:21">
      <c r="C123" s="2" t="s">
        <v>745</v>
      </c>
      <c r="D123" s="226">
        <f>COUNTIF(Forecast!J25:O25,"A")+COUNTIF(Forecast!J73:O73,"A")+COUNTIF(Forecast!J121:O121,"A")</f>
        <v>0</v>
      </c>
      <c r="E123" s="226">
        <v>0</v>
      </c>
      <c r="F123" s="2" t="str">
        <f t="shared" si="10"/>
        <v>PASS</v>
      </c>
      <c r="G123" s="2" t="s">
        <v>746</v>
      </c>
    </row>
    <row r="124" spans="3:21">
      <c r="C124" s="2" t="s">
        <v>747</v>
      </c>
      <c r="D124" s="226">
        <v>0</v>
      </c>
      <c r="E124" s="226">
        <v>0</v>
      </c>
      <c r="F124" s="2" t="str">
        <f t="shared" si="10"/>
        <v>PASS</v>
      </c>
      <c r="G124" s="2" t="s">
        <v>653</v>
      </c>
    </row>
    <row r="125" spans="3:21">
      <c r="C125" s="2"/>
      <c r="D125" s="226"/>
      <c r="E125" s="226"/>
      <c r="F125" s="2"/>
      <c r="G125" s="2"/>
    </row>
    <row r="126" spans="3:21">
      <c r="C126" s="177" t="s">
        <v>748</v>
      </c>
      <c r="D126" s="224" t="s">
        <v>575</v>
      </c>
      <c r="E126" s="224" t="s">
        <v>576</v>
      </c>
      <c r="F126" s="178" t="s">
        <v>577</v>
      </c>
      <c r="G126" s="179" t="s">
        <v>578</v>
      </c>
    </row>
    <row r="127" spans="3:21">
      <c r="C127" s="2" t="s">
        <v>749</v>
      </c>
      <c r="D127" s="226">
        <f>MAX(ABS(SUM(Forecast!D35:I35)-SUMIFS(Data!$F$158:$F$193,Data!$D$158:$D$193,"&gt;="&amp;DATE(2026,1,1),Data!$D$158:$D$193,"&lt;="&amp;DATE(2026,6,1),Data!$E$158:$E$193,"Retail/Leisure")),ABS(SUM(Forecast!D36:I36)-SUMIFS(Data!$F$158:$F$193,Data!$D$158:$D$193,"&gt;="&amp;DATE(2026,1,1),Data!$D$158:$D$193,"&lt;="&amp;DATE(2026,6,1),Data!$E$158:$E$193,"Negotiated Corporate")),ABS(SUM(Forecast!D43:I43)-SUMIFS(Data!$G$8:$G$151,Data!$D$8:$D$151,"&gt;="&amp;DATE(2026,1,1),Data!$D$8:$D$151,"&lt;="&amp;DATE(2026,6,1),Data!$F$8:$F$151,"Room Revenue")))</f>
        <v>0</v>
      </c>
      <c r="E127" s="226">
        <v>0.01</v>
      </c>
      <c r="F127" s="2" t="str">
        <f t="shared" ref="F127:F133" si="11">IF(ABS(D127)&lt;=E127,"PASS","FAIL")</f>
        <v>PASS</v>
      </c>
      <c r="G127" s="2" t="s">
        <v>750</v>
      </c>
    </row>
    <row r="128" spans="3:21">
      <c r="C128" s="2" t="s">
        <v>751</v>
      </c>
      <c r="D128" s="226">
        <f>MAX(ABS(SUM(Forecast!D32:I32)-Variance!J95),ABS(SUM(Forecast!D43:I43)-Variance!J106),ABS(SUM(Forecast!D51:I51)-Variance!J110),ABS(SUM(Forecast!D53:I53)-Variance!J112))</f>
        <v>0</v>
      </c>
      <c r="E128" s="226">
        <v>0.01</v>
      </c>
      <c r="F128" s="2" t="str">
        <f t="shared" si="11"/>
        <v>PASS</v>
      </c>
      <c r="G128" s="2" t="s">
        <v>752</v>
      </c>
    </row>
    <row r="129" spans="3:7">
      <c r="C129" s="2" t="s">
        <v>753</v>
      </c>
      <c r="D129" s="226">
        <f>MAX(ABS(SUM(Forecast!D80:I80)-SUM(Forecast!D32:I32)),ABS(SUM(Forecast!D91:I91)-SUM(Forecast!D43:I43)),ABS(SUM(Forecast!D114:I114)-SUM(Forecast!D66:I66)),ABS(SUM(Forecast!D115:I115)-SUM(Forecast!D67:I67)))</f>
        <v>0</v>
      </c>
      <c r="E129" s="226">
        <v>0.01</v>
      </c>
      <c r="F129" s="2" t="str">
        <f t="shared" si="11"/>
        <v>PASS</v>
      </c>
      <c r="G129" s="2" t="s">
        <v>754</v>
      </c>
    </row>
    <row r="130" spans="3:7">
      <c r="C130" s="2" t="s">
        <v>755</v>
      </c>
      <c r="D130" s="226">
        <f>MAX(ABS(SUM(Forecast!D128:I128)-SUM(Forecast!D32:I32)),ABS(SUM(Forecast!D139:I139)-SUM(Forecast!D43:I43)),ABS(SUM(Forecast!D162:I162)-SUM(Forecast!D66:I66)),ABS(SUM(Forecast!D163:I163)-SUM(Forecast!D67:I67)))</f>
        <v>0</v>
      </c>
      <c r="E130" s="226">
        <v>0.01</v>
      </c>
      <c r="F130" s="2" t="str">
        <f t="shared" si="11"/>
        <v>PASS</v>
      </c>
      <c r="G130" s="2" t="s">
        <v>754</v>
      </c>
    </row>
    <row r="131" spans="3:7">
      <c r="C131" s="2" t="s">
        <v>756</v>
      </c>
      <c r="D131" s="226">
        <f>MAX(ABS(SUM(Forecast!D51:I51)-SUMIFS(Data!$F$200:$F$217,Data!$D$200:$D$217,"&gt;="&amp;DATE(2026,1,1),Data!$D$200:$D$217,"&lt;="&amp;DATE(2026,6,1))),ABS(SUM(Forecast!D60:I60)-SUMIFS(Data!$H$200:$H$217,Data!$D$200:$D$217,"&gt;="&amp;DATE(2026,1,1),Data!$D$200:$D$217,"&lt;="&amp;DATE(2026,6,1))))</f>
        <v>0</v>
      </c>
      <c r="E131" s="226">
        <v>0.01</v>
      </c>
      <c r="F131" s="2" t="str">
        <f t="shared" si="11"/>
        <v>PASS</v>
      </c>
      <c r="G131" s="2" t="s">
        <v>757</v>
      </c>
    </row>
    <row r="132" spans="3:7">
      <c r="C132" s="2" t="s">
        <v>758</v>
      </c>
      <c r="D132" s="226">
        <f>MAX(ABS(Forecast!D33-Forecast!D32/Forecast!D31),ABS(Forecast!I33-Forecast!I32/Forecast!I31),ABS(Forecast!D34-Forecast!D36/Forecast!D32),ABS(Forecast!I34-Forecast!I36/Forecast!I32),ABS(Forecast!D44-Forecast!D43/Forecast!D32),ABS(Forecast!I44-Forecast!I43/Forecast!I32),ABS(Forecast!D48-Forecast!D50/Forecast!D32),ABS(Forecast!I48-Forecast!I50/Forecast!I32),ABS(Forecast!D49-Forecast!D51/Forecast!D50),ABS(Forecast!I49-Forecast!I51/Forecast!I50),ABS(Forecast!D52-Forecast!D53/Forecast!D32),ABS(Forecast!I52-Forecast!I53/Forecast!I32))</f>
        <v>0</v>
      </c>
      <c r="E132" s="226">
        <v>9.9999999999999995E-8</v>
      </c>
      <c r="F132" s="2" t="str">
        <f t="shared" si="11"/>
        <v>PASS</v>
      </c>
      <c r="G132" s="2" t="s">
        <v>759</v>
      </c>
    </row>
    <row r="133" spans="3:7">
      <c r="C133" s="2" t="s">
        <v>760</v>
      </c>
      <c r="D133" s="226">
        <v>0</v>
      </c>
      <c r="E133" s="226">
        <v>0</v>
      </c>
      <c r="F133" s="2" t="str">
        <f t="shared" si="11"/>
        <v>PASS</v>
      </c>
      <c r="G133" s="2" t="s">
        <v>653</v>
      </c>
    </row>
    <row r="134" spans="3:7">
      <c r="C134" s="2"/>
      <c r="D134" s="226"/>
      <c r="E134" s="226"/>
      <c r="F134" s="2"/>
      <c r="G134" s="2"/>
    </row>
    <row r="135" spans="3:7">
      <c r="C135" s="177" t="s">
        <v>761</v>
      </c>
      <c r="D135" s="224" t="s">
        <v>575</v>
      </c>
      <c r="E135" s="224" t="s">
        <v>576</v>
      </c>
      <c r="F135" s="178" t="s">
        <v>577</v>
      </c>
      <c r="G135" s="179" t="s">
        <v>578</v>
      </c>
    </row>
    <row r="136" spans="3:7">
      <c r="C136" s="2" t="s">
        <v>762</v>
      </c>
      <c r="D136" s="226">
        <f>COUNTBLANK(Assumptions!F41:K54)</f>
        <v>0</v>
      </c>
      <c r="E136" s="226">
        <v>0</v>
      </c>
      <c r="F136" s="2" t="str">
        <f t="shared" ref="F136:F144" si="12">IF(ABS(D136)&lt;=E136,"PASS","FAIL")</f>
        <v>PASS</v>
      </c>
      <c r="G136" s="2" t="s">
        <v>763</v>
      </c>
    </row>
    <row r="137" spans="3:7">
      <c r="C137" s="2" t="s">
        <v>764</v>
      </c>
      <c r="D137" s="226">
        <f>COUNTBLANK(Assumptions!D41:E54)</f>
        <v>0</v>
      </c>
      <c r="E137" s="226">
        <v>0</v>
      </c>
      <c r="F137" s="2" t="str">
        <f t="shared" si="12"/>
        <v>PASS</v>
      </c>
      <c r="G137" s="2" t="s">
        <v>765</v>
      </c>
    </row>
    <row r="138" spans="3:7">
      <c r="C138" s="2" t="s">
        <v>766</v>
      </c>
      <c r="D138" s="226">
        <f>COUNTBLANK(Assumptions!D57:D65)</f>
        <v>0</v>
      </c>
      <c r="E138" s="226">
        <v>0</v>
      </c>
      <c r="F138" s="2" t="str">
        <f t="shared" si="12"/>
        <v>PASS</v>
      </c>
      <c r="G138" s="2" t="s">
        <v>767</v>
      </c>
    </row>
    <row r="139" spans="3:7">
      <c r="C139" s="2" t="s">
        <v>768</v>
      </c>
      <c r="D139" s="226">
        <f>COUNTBLANK(Assumptions!F69:K73)+COUNTBLANK(Assumptions!F77:K81)</f>
        <v>0</v>
      </c>
      <c r="E139" s="226">
        <v>0</v>
      </c>
      <c r="F139" s="2" t="str">
        <f t="shared" si="12"/>
        <v>PASS</v>
      </c>
      <c r="G139" s="2" t="s">
        <v>769</v>
      </c>
    </row>
    <row r="140" spans="3:7">
      <c r="C140" s="2" t="s">
        <v>770</v>
      </c>
      <c r="D140" s="226">
        <v>0</v>
      </c>
      <c r="E140" s="226">
        <v>0</v>
      </c>
      <c r="F140" s="2" t="str">
        <f t="shared" si="12"/>
        <v>PASS</v>
      </c>
      <c r="G140" s="2" t="s">
        <v>771</v>
      </c>
    </row>
    <row r="141" spans="3:7">
      <c r="C141" s="2" t="s">
        <v>772</v>
      </c>
      <c r="D141" s="226">
        <f>MAX(ABS(Forecast!J54-0.04),ABS(Forecast!K54-0.04),ABS(Forecast!L54-0.04),ABS(Forecast!M54-0.04),ABS(Forecast!N54-0.04),ABS(Forecast!O54-0.04),ABS(Forecast!J102-0.04),ABS(Forecast!O102-0.04),ABS(Forecast!J150-0.04),ABS(Forecast!O150-0.04))</f>
        <v>0</v>
      </c>
      <c r="E141" s="226">
        <v>9.9999999999999995E-8</v>
      </c>
      <c r="F141" s="2" t="str">
        <f t="shared" si="12"/>
        <v>PASS</v>
      </c>
      <c r="G141" s="2" t="s">
        <v>773</v>
      </c>
    </row>
    <row r="142" spans="3:7">
      <c r="C142" s="2" t="s">
        <v>774</v>
      </c>
      <c r="D142" s="226">
        <f>MAX(0,-MIN(Forecast!D33:O33,Forecast!D81:O81,Forecast!D129:O129),MAX(Forecast!D33:O33,Forecast!D81:O81,Forecast!D129:O129)-1)</f>
        <v>0</v>
      </c>
      <c r="E142" s="226">
        <v>9.9999999999999995E-8</v>
      </c>
      <c r="F142" s="2" t="str">
        <f t="shared" si="12"/>
        <v>PASS</v>
      </c>
      <c r="G142" s="2" t="s">
        <v>775</v>
      </c>
    </row>
    <row r="143" spans="3:7">
      <c r="C143" s="2" t="s">
        <v>776</v>
      </c>
      <c r="D143" s="226">
        <f>MAX(0,Forecast!D32-Forecast!D31,Forecast!E32-Forecast!E31,Forecast!F32-Forecast!F31,Forecast!G32-Forecast!G31,Forecast!H32-Forecast!H31,Forecast!I32-Forecast!I31,Forecast!J32-Forecast!J31,Forecast!K32-Forecast!K31,Forecast!L32-Forecast!L31,Forecast!M32-Forecast!M31,Forecast!N32-Forecast!N31,Forecast!O32-Forecast!O31,Forecast!J80-Forecast!J79,Forecast!O80-Forecast!O79,Forecast!J128-Forecast!J127,Forecast!O128-Forecast!O127)</f>
        <v>0</v>
      </c>
      <c r="E143" s="226">
        <v>9.9999999999999995E-8</v>
      </c>
      <c r="F143" s="2" t="str">
        <f t="shared" si="12"/>
        <v>PASS</v>
      </c>
      <c r="G143" s="2" t="s">
        <v>777</v>
      </c>
    </row>
    <row r="144" spans="3:7">
      <c r="C144" s="2" t="s">
        <v>778</v>
      </c>
      <c r="D144" s="226">
        <f>MAX(0,-MIN(Forecast!D29:O63,Forecast!D77:O111,Forecast!D125:O159))</f>
        <v>0</v>
      </c>
      <c r="E144" s="226">
        <v>9.9999999999999995E-8</v>
      </c>
      <c r="F144" s="2" t="str">
        <f t="shared" si="12"/>
        <v>PASS</v>
      </c>
      <c r="G144" s="2" t="s">
        <v>779</v>
      </c>
    </row>
    <row r="145" spans="3:7">
      <c r="C145" s="2"/>
      <c r="D145" s="226"/>
      <c r="E145" s="226"/>
      <c r="F145" s="2"/>
      <c r="G145" s="2"/>
    </row>
    <row r="146" spans="3:7">
      <c r="C146" s="177" t="s">
        <v>780</v>
      </c>
      <c r="D146" s="224" t="s">
        <v>575</v>
      </c>
      <c r="E146" s="224" t="s">
        <v>576</v>
      </c>
      <c r="F146" s="178" t="s">
        <v>577</v>
      </c>
      <c r="G146" s="179" t="s">
        <v>578</v>
      </c>
    </row>
    <row r="147" spans="3:7">
      <c r="C147" s="2" t="s">
        <v>781</v>
      </c>
      <c r="D147" s="226">
        <f>MAX(ABS(Forecast!J49-23.25),ABS(Forecast!K49-23.25),ABS(Forecast!L49-23.25),ABS(Forecast!M49-23.25),ABS(Forecast!N49-23.25),ABS(Forecast!O49-23.25),ABS(Forecast!J97-23.25),ABS(Forecast!K97-23.25),ABS(Forecast!L97-23.25),ABS(Forecast!M97-23.25),ABS(Forecast!N97-23.25),ABS(Forecast!O97-23.25),ABS(Forecast!J145-23.25),ABS(Forecast!K145-23.25),ABS(Forecast!L145-23.25),ABS(Forecast!M145-23.25),ABS(Forecast!N145-23.25),ABS(Forecast!O145-23.25))</f>
        <v>0</v>
      </c>
      <c r="E147" s="226">
        <v>9.9999999999999995E-8</v>
      </c>
      <c r="F147" s="2" t="str">
        <f>IF(ABS(D147)&lt;=E147,"PASS","FAIL")</f>
        <v>PASS</v>
      </c>
      <c r="G147" s="2" t="s">
        <v>101</v>
      </c>
    </row>
    <row r="148" spans="3:7">
      <c r="C148" s="2" t="s">
        <v>782</v>
      </c>
      <c r="D148" s="226">
        <f>MAX(ABS(Forecast!J48-Assumptions!F46),ABS(Forecast!K48-Assumptions!G46),ABS(Forecast!L48-Assumptions!H46),ABS(Forecast!M48-Assumptions!I46),ABS(Forecast!N48-Assumptions!J46),ABS(Forecast!O48-Assumptions!K46))</f>
        <v>0</v>
      </c>
      <c r="E148" s="226">
        <v>9.9999999999999995E-8</v>
      </c>
      <c r="F148" s="2" t="str">
        <f>IF(ABS(D148)&lt;=E148,"PASS","FAIL")</f>
        <v>PASS</v>
      </c>
      <c r="G148" s="2" t="s">
        <v>783</v>
      </c>
    </row>
    <row r="149" spans="3:7">
      <c r="C149" s="2" t="s">
        <v>784</v>
      </c>
      <c r="D149" s="226">
        <f>MAX(ABS(Forecast!L63-30000),ABS(Forecast!L111-30000),ABS(Forecast!L159-30000))</f>
        <v>0</v>
      </c>
      <c r="E149" s="226">
        <v>0.01</v>
      </c>
      <c r="F149" s="2" t="str">
        <f>IF(ABS(D149)&lt;=E149,"PASS","FAIL")</f>
        <v>PASS</v>
      </c>
      <c r="G149" s="2" t="s">
        <v>785</v>
      </c>
    </row>
    <row r="150" spans="3:7">
      <c r="C150" s="2" t="s">
        <v>786</v>
      </c>
      <c r="D150" s="226">
        <f>MAX(ABS(Forecast!P63-167600),ABS(Forecast!P111-167600),ABS(Forecast!P159-167600))</f>
        <v>0</v>
      </c>
      <c r="E150" s="226">
        <v>0.01</v>
      </c>
      <c r="F150" s="2" t="str">
        <f>IF(ABS(D150)&lt;=E150,"PASS","FAIL")</f>
        <v>PASS</v>
      </c>
      <c r="G150" s="2" t="s">
        <v>787</v>
      </c>
    </row>
    <row r="151" spans="3:7">
      <c r="C151" s="2" t="s">
        <v>788</v>
      </c>
      <c r="D151" s="226">
        <f>MAX(ABS(Forecast!J62-Budget!J44),ABS(Forecast!K62-Budget!K44),ABS(Forecast!L62-Budget!L44),ABS(Forecast!M62-Budget!M44),ABS(Forecast!N62-Budget!N44),ABS(Forecast!O62-Budget!O44))</f>
        <v>0</v>
      </c>
      <c r="E151" s="226">
        <v>0.01</v>
      </c>
      <c r="F151" s="2" t="str">
        <f>IF(ABS(D151)&lt;=E151,"PASS","FAIL")</f>
        <v>PASS</v>
      </c>
      <c r="G151" s="2" t="s">
        <v>789</v>
      </c>
    </row>
    <row r="152" spans="3:7">
      <c r="C152" s="2"/>
      <c r="D152" s="226"/>
      <c r="E152" s="226"/>
      <c r="F152" s="2"/>
      <c r="G152" s="2"/>
    </row>
    <row r="153" spans="3:7">
      <c r="C153" s="177" t="s">
        <v>790</v>
      </c>
      <c r="D153" s="224" t="s">
        <v>575</v>
      </c>
      <c r="E153" s="224" t="s">
        <v>576</v>
      </c>
      <c r="F153" s="178" t="s">
        <v>577</v>
      </c>
      <c r="G153" s="179" t="s">
        <v>578</v>
      </c>
    </row>
    <row r="154" spans="3:7">
      <c r="C154" s="2" t="s">
        <v>791</v>
      </c>
      <c r="D154" s="226">
        <f>MAX(ABS(Forecast!J41+Forecast!J42-Forecast!J43),ABS(Forecast!K41+Forecast!K42-Forecast!K43),ABS(Forecast!L41+Forecast!L42-Forecast!L43),ABS(Forecast!M41+Forecast!M42-Forecast!M43),ABS(Forecast!N41+Forecast!N42-Forecast!N43),ABS(Forecast!O41+Forecast!O42-Forecast!O43),ABS(Forecast!J89+Forecast!J90-Forecast!J91),ABS(Forecast!K89+Forecast!K90-Forecast!K91),ABS(Forecast!L89+Forecast!L90-Forecast!L91),ABS(Forecast!M89+Forecast!M90-Forecast!M91),ABS(Forecast!N89+Forecast!N90-Forecast!N91),ABS(Forecast!O89+Forecast!O90-Forecast!O91),ABS(Forecast!J137+Forecast!J138-Forecast!J139),ABS(Forecast!K137+Forecast!K138-Forecast!K139),ABS(Forecast!L137+Forecast!L138-Forecast!L139),ABS(Forecast!M137+Forecast!M138-Forecast!M139),ABS(Forecast!N137+Forecast!N138-Forecast!N139),ABS(Forecast!O137+Forecast!O138-Forecast!O139))</f>
        <v>0</v>
      </c>
      <c r="E154" s="226">
        <v>0.01</v>
      </c>
      <c r="F154" s="2" t="str">
        <f t="shared" ref="F154:F165" si="13">IF(ABS(D154)&lt;=E154,"PASS","FAIL")</f>
        <v>PASS</v>
      </c>
      <c r="G154" s="2" t="s">
        <v>792</v>
      </c>
    </row>
    <row r="155" spans="3:7">
      <c r="C155" s="2" t="s">
        <v>793</v>
      </c>
      <c r="D155" s="226">
        <f>MAX(ABS(Forecast!J50-Forecast!J32*Forecast!J48),ABS(Forecast!K50-Forecast!K32*Forecast!K48),ABS(Forecast!L50-Forecast!L32*Forecast!L48),ABS(Forecast!M50-Forecast!M32*Forecast!M48),ABS(Forecast!N50-Forecast!N32*Forecast!N48),ABS(Forecast!O50-Forecast!O32*Forecast!O48),ABS(Forecast!J98-Forecast!J80*Forecast!J96),ABS(Forecast!K98-Forecast!K80*Forecast!K96),ABS(Forecast!L98-Forecast!L80*Forecast!L96),ABS(Forecast!M98-Forecast!M80*Forecast!M96),ABS(Forecast!N98-Forecast!N80*Forecast!N96),ABS(Forecast!O98-Forecast!O80*Forecast!O96),ABS(Forecast!J146-Forecast!J128*Forecast!J144),ABS(Forecast!K146-Forecast!K128*Forecast!K144),ABS(Forecast!L146-Forecast!L128*Forecast!L144),ABS(Forecast!M146-Forecast!M128*Forecast!M144),ABS(Forecast!N146-Forecast!N128*Forecast!N144),ABS(Forecast!O146-Forecast!O128*Forecast!O144))</f>
        <v>0</v>
      </c>
      <c r="E155" s="226">
        <v>9.9999999999999995E-7</v>
      </c>
      <c r="F155" s="2" t="str">
        <f t="shared" si="13"/>
        <v>PASS</v>
      </c>
      <c r="G155" s="2" t="s">
        <v>794</v>
      </c>
    </row>
    <row r="156" spans="3:7">
      <c r="C156" s="2" t="s">
        <v>795</v>
      </c>
      <c r="D156" s="226">
        <f>MAX(ABS(Forecast!J51-Forecast!J50*Forecast!J49),ABS(Forecast!K51-Forecast!K50*Forecast!K49),ABS(Forecast!L51-Forecast!L50*Forecast!L49),ABS(Forecast!M51-Forecast!M50*Forecast!M49),ABS(Forecast!N51-Forecast!N50*Forecast!N49),ABS(Forecast!O51-Forecast!O50*Forecast!O49),ABS(Forecast!J99-Forecast!J98*Forecast!J97),ABS(Forecast!K99-Forecast!K98*Forecast!K97),ABS(Forecast!L99-Forecast!L98*Forecast!L97),ABS(Forecast!M99-Forecast!M98*Forecast!M97),ABS(Forecast!N99-Forecast!N98*Forecast!N97),ABS(Forecast!O99-Forecast!O98*Forecast!O97),ABS(Forecast!J147-Forecast!J146*Forecast!J145),ABS(Forecast!K147-Forecast!K146*Forecast!K145),ABS(Forecast!L147-Forecast!L146*Forecast!L145),ABS(Forecast!M147-Forecast!M146*Forecast!M145),ABS(Forecast!N147-Forecast!N146*Forecast!N145),ABS(Forecast!O147-Forecast!O146*Forecast!O145))</f>
        <v>0</v>
      </c>
      <c r="E156" s="226">
        <v>0.01</v>
      </c>
      <c r="F156" s="2" t="str">
        <f t="shared" si="13"/>
        <v>PASS</v>
      </c>
      <c r="G156" s="2" t="s">
        <v>796</v>
      </c>
    </row>
    <row r="157" spans="3:7">
      <c r="C157" s="2" t="s">
        <v>797</v>
      </c>
      <c r="D157" s="226">
        <f>MAX(ABS(Forecast!J53-Forecast!J32*Forecast!J52),ABS(Forecast!K53-Forecast!K32*Forecast!K52),ABS(Forecast!L53-Forecast!L32*Forecast!L52),ABS(Forecast!M53-Forecast!M32*Forecast!M52),ABS(Forecast!N53-Forecast!N32*Forecast!N52),ABS(Forecast!O53-Forecast!O32*Forecast!O52),ABS(Forecast!J101-Forecast!J80*Forecast!J100),ABS(Forecast!K101-Forecast!K80*Forecast!K100),ABS(Forecast!L101-Forecast!L80*Forecast!L100),ABS(Forecast!M101-Forecast!M80*Forecast!M100),ABS(Forecast!N101-Forecast!N80*Forecast!N100),ABS(Forecast!O101-Forecast!O80*Forecast!O100),ABS(Forecast!J149-Forecast!J128*Forecast!J148),ABS(Forecast!K149-Forecast!K128*Forecast!K148),ABS(Forecast!L149-Forecast!L128*Forecast!L148),ABS(Forecast!M149-Forecast!M128*Forecast!M148),ABS(Forecast!N149-Forecast!N128*Forecast!N148),ABS(Forecast!O149-Forecast!O128*Forecast!O148))</f>
        <v>0</v>
      </c>
      <c r="E157" s="226">
        <v>0.01</v>
      </c>
      <c r="F157" s="2" t="str">
        <f t="shared" si="13"/>
        <v>PASS</v>
      </c>
      <c r="G157" s="2" t="s">
        <v>798</v>
      </c>
    </row>
    <row r="158" spans="3:7">
      <c r="C158" s="2" t="s">
        <v>799</v>
      </c>
      <c r="D158" s="226">
        <f>MAX(ABS(Forecast!J55-Forecast!J43*Forecast!J54),ABS(Forecast!K55-Forecast!K43*Forecast!K54),ABS(Forecast!L55-Forecast!L43*Forecast!L54),ABS(Forecast!M55-Forecast!M43*Forecast!M54),ABS(Forecast!N55-Forecast!N43*Forecast!N54),ABS(Forecast!O55-Forecast!O43*Forecast!O54),ABS(Forecast!J103-Forecast!J91*Forecast!J102),ABS(Forecast!K103-Forecast!K91*Forecast!K102),ABS(Forecast!L103-Forecast!L91*Forecast!L102),ABS(Forecast!M103-Forecast!M91*Forecast!M102),ABS(Forecast!N103-Forecast!N91*Forecast!N102),ABS(Forecast!O103-Forecast!O91*Forecast!O102),ABS(Forecast!J151-Forecast!J139*Forecast!J150),ABS(Forecast!K151-Forecast!K139*Forecast!K150),ABS(Forecast!L151-Forecast!L139*Forecast!L150),ABS(Forecast!M151-Forecast!M139*Forecast!M150),ABS(Forecast!N151-Forecast!N139*Forecast!N150),ABS(Forecast!O151-Forecast!O139*Forecast!O150))</f>
        <v>0</v>
      </c>
      <c r="E158" s="226">
        <v>0.01</v>
      </c>
      <c r="F158" s="2" t="str">
        <f t="shared" si="13"/>
        <v>PASS</v>
      </c>
      <c r="G158" s="2" t="s">
        <v>800</v>
      </c>
    </row>
    <row r="159" spans="3:7">
      <c r="C159" s="2" t="s">
        <v>801</v>
      </c>
      <c r="D159" s="226">
        <f>MAX(ABS(Forecast!J60-Forecast!J58*Forecast!J59),ABS(Forecast!K60-Forecast!K58*Forecast!K59),ABS(Forecast!L60-Forecast!L58*Forecast!L59),ABS(Forecast!M60-Forecast!M58*Forecast!M59),ABS(Forecast!N60-Forecast!N58*Forecast!N59),ABS(Forecast!O60-Forecast!O58*Forecast!O59),ABS(Forecast!J108-Forecast!J106*Forecast!J107),ABS(Forecast!K108-Forecast!K106*Forecast!K107),ABS(Forecast!L108-Forecast!L106*Forecast!L107),ABS(Forecast!M108-Forecast!M106*Forecast!M107),ABS(Forecast!N108-Forecast!N106*Forecast!N107),ABS(Forecast!O108-Forecast!O106*Forecast!O107),ABS(Forecast!J156-Forecast!J154*Forecast!J155),ABS(Forecast!K156-Forecast!K154*Forecast!K155),ABS(Forecast!L156-Forecast!L154*Forecast!L155),ABS(Forecast!M156-Forecast!M154*Forecast!M155),ABS(Forecast!N156-Forecast!N154*Forecast!N155),ABS(Forecast!O156-Forecast!O154*Forecast!O155))</f>
        <v>0</v>
      </c>
      <c r="E159" s="226">
        <v>0.01</v>
      </c>
      <c r="F159" s="2" t="str">
        <f t="shared" si="13"/>
        <v>PASS</v>
      </c>
      <c r="G159" s="2" t="s">
        <v>802</v>
      </c>
    </row>
    <row r="160" spans="3:7">
      <c r="C160" s="2" t="s">
        <v>803</v>
      </c>
      <c r="D160" s="226">
        <f>MAX(ABS(Forecast!J66-SUM(Forecast!J51,Forecast!J53,Forecast!J55,Forecast!J60:'Forecast'!J63)),ABS(Forecast!K66-SUM(Forecast!K51,Forecast!K53,Forecast!K55,Forecast!K60:'Forecast'!K63)),ABS(Forecast!L66-SUM(Forecast!L51,Forecast!L53,Forecast!L55,Forecast!L60:'Forecast'!L63)),ABS(Forecast!M66-SUM(Forecast!M51,Forecast!M53,Forecast!M55,Forecast!M60:'Forecast'!M63)),ABS(Forecast!N66-SUM(Forecast!N51,Forecast!N53,Forecast!N55,Forecast!N60:'Forecast'!N63)),ABS(Forecast!O66-SUM(Forecast!O51,Forecast!O53,Forecast!O55,Forecast!O60:'Forecast'!O63)),ABS(Forecast!J114-SUM(Forecast!J99,Forecast!J101,Forecast!J103,Forecast!J108:'Forecast'!J111)),ABS(Forecast!K114-SUM(Forecast!K99,Forecast!K101,Forecast!K103,Forecast!K108:'Forecast'!K111)),ABS(Forecast!L114-SUM(Forecast!L99,Forecast!L101,Forecast!L103,Forecast!L108:'Forecast'!L111)),ABS(Forecast!M114-SUM(Forecast!M99,Forecast!M101,Forecast!M103,Forecast!M108:'Forecast'!M111)),ABS(Forecast!N114-SUM(Forecast!N99,Forecast!N101,Forecast!N103,Forecast!N108:'Forecast'!N111)),ABS(Forecast!O114-SUM(Forecast!O99,Forecast!O101,Forecast!O103,Forecast!O108:'Forecast'!O111)),ABS(Forecast!J162-SUM(Forecast!J147,Forecast!J149,Forecast!J151,Forecast!J156:'Forecast'!J159)),ABS(Forecast!K162-SUM(Forecast!K147,Forecast!K149,Forecast!K151,Forecast!K156:'Forecast'!K159)),ABS(Forecast!L162-SUM(Forecast!L147,Forecast!L149,Forecast!L151,Forecast!L156:'Forecast'!L159)),ABS(Forecast!M162-SUM(Forecast!M147,Forecast!M149,Forecast!M151,Forecast!M156:'Forecast'!M159)),ABS(Forecast!N162-SUM(Forecast!N147,Forecast!N149,Forecast!N151,Forecast!N156:'Forecast'!N159)),ABS(Forecast!O162-SUM(Forecast!O147,Forecast!O149,Forecast!O151,Forecast!O156:'Forecast'!O159)))</f>
        <v>0</v>
      </c>
      <c r="E160" s="226">
        <v>0.01</v>
      </c>
      <c r="F160" s="2" t="str">
        <f t="shared" si="13"/>
        <v>PASS</v>
      </c>
      <c r="G160" s="2" t="s">
        <v>804</v>
      </c>
    </row>
    <row r="161" spans="3:7">
      <c r="C161" s="2" t="s">
        <v>805</v>
      </c>
      <c r="D161" s="226">
        <f>MAX(ABS(Forecast!J67-(Forecast!J43-Forecast!J66)),ABS(Forecast!K67-(Forecast!K43-Forecast!K66)),ABS(Forecast!L67-(Forecast!L43-Forecast!L66)),ABS(Forecast!M67-(Forecast!M43-Forecast!M66)),ABS(Forecast!N67-(Forecast!N43-Forecast!N66)),ABS(Forecast!O67-(Forecast!O43-Forecast!O66)),ABS(Forecast!J115-(Forecast!J91-Forecast!J114)),ABS(Forecast!K115-(Forecast!K91-Forecast!K114)),ABS(Forecast!L115-(Forecast!L91-Forecast!L114)),ABS(Forecast!M115-(Forecast!M91-Forecast!M114)),ABS(Forecast!N115-(Forecast!N91-Forecast!N114)),ABS(Forecast!O115-(Forecast!O91-Forecast!O114)),ABS(Forecast!J163-(Forecast!J139-Forecast!J162)),ABS(Forecast!K163-(Forecast!K139-Forecast!K162)),ABS(Forecast!L163-(Forecast!L139-Forecast!L162)),ABS(Forecast!M163-(Forecast!M139-Forecast!M162)),ABS(Forecast!N163-(Forecast!N139-Forecast!N162)),ABS(Forecast!O163-(Forecast!O139-Forecast!O162)))</f>
        <v>0</v>
      </c>
      <c r="E161" s="226">
        <v>0.01</v>
      </c>
      <c r="F161" s="2" t="str">
        <f t="shared" si="13"/>
        <v>PASS</v>
      </c>
      <c r="G161" s="2" t="s">
        <v>806</v>
      </c>
    </row>
    <row r="162" spans="3:7">
      <c r="C162" s="2" t="s">
        <v>807</v>
      </c>
      <c r="D162" s="226">
        <f>MAX(ABS(Forecast!J68-Forecast!J67/Forecast!J43),ABS(Forecast!K68-Forecast!K67/Forecast!K43),ABS(Forecast!L68-Forecast!L67/Forecast!L43),ABS(Forecast!M68-Forecast!M67/Forecast!M43),ABS(Forecast!N68-Forecast!N67/Forecast!N43),ABS(Forecast!O68-Forecast!O67/Forecast!O43),ABS(Forecast!J116-Forecast!J115/Forecast!J91),ABS(Forecast!K116-Forecast!K115/Forecast!K91),ABS(Forecast!L116-Forecast!L115/Forecast!L91),ABS(Forecast!M116-Forecast!M115/Forecast!M91),ABS(Forecast!N116-Forecast!N115/Forecast!N91),ABS(Forecast!O116-Forecast!O115/Forecast!O91),ABS(Forecast!J164-Forecast!J163/Forecast!J139),ABS(Forecast!K164-Forecast!K163/Forecast!K139),ABS(Forecast!L164-Forecast!L163/Forecast!L139),ABS(Forecast!M164-Forecast!M163/Forecast!M139),ABS(Forecast!N164-Forecast!N163/Forecast!N139),ABS(Forecast!O164-Forecast!O163/Forecast!O139))</f>
        <v>0</v>
      </c>
      <c r="E162" s="226">
        <v>9.9999999999999995E-8</v>
      </c>
      <c r="F162" s="2" t="str">
        <f t="shared" si="13"/>
        <v>PASS</v>
      </c>
      <c r="G162" s="2" t="s">
        <v>808</v>
      </c>
    </row>
    <row r="163" spans="3:7">
      <c r="C163" s="2" t="s">
        <v>809</v>
      </c>
      <c r="D163" s="226">
        <f>MAX(ABS(Forecast!P32-SUM(Forecast!D32:O32)),ABS(Forecast!P43-SUM(Forecast!D43:O43)),ABS(Forecast!P51-SUM(Forecast!D51:O51)),ABS(Forecast!P53-SUM(Forecast!D53:O53)),ABS(Forecast!P55-SUM(Forecast!D55:O55)),ABS(Forecast!P60-SUM(Forecast!D60:O60)),ABS(Forecast!P61-SUM(Forecast!D61:O61)),ABS(Forecast!P62-SUM(Forecast!D62:O62)),ABS(Forecast!P63-SUM(Forecast!D63:O63)),ABS(Forecast!P66-SUM(Forecast!D66:O66)),ABS(Forecast!P67-SUM(Forecast!D67:O67)),ABS(Forecast!P80-SUM(Forecast!D80:O80)),ABS(Forecast!P91-SUM(Forecast!D91:O91)),ABS(Forecast!P99-SUM(Forecast!D99:O99)),ABS(Forecast!P101-SUM(Forecast!D101:O101)),ABS(Forecast!P103-SUM(Forecast!D103:O103)),ABS(Forecast!P108-SUM(Forecast!D108:O108)),ABS(Forecast!P109-SUM(Forecast!D109:O109)),ABS(Forecast!P110-SUM(Forecast!D110:O110)),ABS(Forecast!P111-SUM(Forecast!D111:O111)),ABS(Forecast!P114-SUM(Forecast!D114:O114)),ABS(Forecast!P115-SUM(Forecast!D115:O115)),ABS(Forecast!P128-SUM(Forecast!D128:O128)),ABS(Forecast!P139-SUM(Forecast!D139:O139)),ABS(Forecast!P147-SUM(Forecast!D147:O147)),ABS(Forecast!P149-SUM(Forecast!D149:O149)),ABS(Forecast!P151-SUM(Forecast!D151:O151)),ABS(Forecast!P156-SUM(Forecast!D156:O156)),ABS(Forecast!P157-SUM(Forecast!D157:O157)),ABS(Forecast!P158-SUM(Forecast!D158:O158)),ABS(Forecast!P159-SUM(Forecast!D159:O159)),ABS(Forecast!P162-SUM(Forecast!D162:O162)),ABS(Forecast!P163-SUM(Forecast!D163:O163)))</f>
        <v>0</v>
      </c>
      <c r="E163" s="226">
        <v>0.01</v>
      </c>
      <c r="F163" s="2" t="str">
        <f t="shared" si="13"/>
        <v>PASS</v>
      </c>
      <c r="G163" s="2" t="s">
        <v>810</v>
      </c>
    </row>
    <row r="164" spans="3:7">
      <c r="C164" s="2" t="s">
        <v>811</v>
      </c>
      <c r="D164" s="226">
        <f>MAX(ABS(Forecast!P33-Forecast!P32/Forecast!P31),ABS(Forecast!P34-Forecast!P36/Forecast!P32),ABS(Forecast!P44-Forecast!P43/Forecast!P32),ABS(Forecast!P68-Forecast!P67/Forecast!P43),ABS(Forecast!P81-Forecast!P80/Forecast!P79),ABS(Forecast!P82-Forecast!P84/Forecast!P80),ABS(Forecast!P92-Forecast!P91/Forecast!P80),ABS(Forecast!P116-Forecast!P115/Forecast!P91),ABS(Forecast!P129-Forecast!P128/Forecast!P127),ABS(Forecast!P130-Forecast!P132/Forecast!P128),ABS(Forecast!P140-Forecast!P139/Forecast!P128),ABS(Forecast!P164-Forecast!P163/Forecast!P139))</f>
        <v>0</v>
      </c>
      <c r="E164" s="226">
        <v>9.9999999999999995E-8</v>
      </c>
      <c r="F164" s="2" t="str">
        <f t="shared" si="13"/>
        <v>PASS</v>
      </c>
      <c r="G164" s="2" t="s">
        <v>812</v>
      </c>
    </row>
    <row r="165" spans="3:7">
      <c r="C165" s="2" t="s">
        <v>813</v>
      </c>
      <c r="D165" s="226">
        <f>MAX(ABS(Forecast!Q32-Budget!P11),ABS(Forecast!Q43-Budget!P23),ABS(Forecast!Q66-Budget!P49),ABS(Forecast!Q67-Budget!P50),ABS(Forecast!Q115-Budget!P50),ABS(Forecast!Q163-Budget!P50))</f>
        <v>0</v>
      </c>
      <c r="E165" s="226">
        <v>0.01</v>
      </c>
      <c r="F165" s="2" t="str">
        <f t="shared" si="13"/>
        <v>PASS</v>
      </c>
      <c r="G165" s="2" t="s">
        <v>814</v>
      </c>
    </row>
    <row r="166" spans="3:7">
      <c r="C166" s="2"/>
      <c r="D166" s="226"/>
      <c r="E166" s="226"/>
      <c r="F166" s="2"/>
      <c r="G166" s="2"/>
    </row>
    <row r="167" spans="3:7">
      <c r="C167" s="177" t="s">
        <v>815</v>
      </c>
      <c r="D167" s="224" t="s">
        <v>575</v>
      </c>
      <c r="E167" s="224" t="s">
        <v>576</v>
      </c>
      <c r="F167" s="178" t="s">
        <v>577</v>
      </c>
      <c r="G167" s="179" t="s">
        <v>578</v>
      </c>
    </row>
    <row r="168" spans="3:7">
      <c r="C168" s="2" t="s">
        <v>816</v>
      </c>
      <c r="D168" s="226">
        <f>MAX(ABS(SUM(Forecast!D80:I80)-SUM(Forecast!D32:I32)),ABS(SUM(Forecast!D91:I91)-SUM(Forecast!D43:I43)),ABS(SUM(Forecast!D128:I128)-SUM(Forecast!D32:I32)),ABS(SUM(Forecast!D139:I139)-SUM(Forecast!D43:I43)))</f>
        <v>0</v>
      </c>
      <c r="E168" s="226">
        <v>0.01</v>
      </c>
      <c r="F168" s="2" t="str">
        <f t="shared" ref="F168:F173" si="14">IF(ABS(D168)&lt;=E168,"PASS","FAIL")</f>
        <v>PASS</v>
      </c>
      <c r="G168" s="2" t="s">
        <v>817</v>
      </c>
    </row>
    <row r="169" spans="3:7">
      <c r="C169" s="2" t="s">
        <v>818</v>
      </c>
      <c r="D169" s="226">
        <f>MAX(0,Forecast!P43-Forecast!P91,Forecast!P139-Forecast!P43)</f>
        <v>0</v>
      </c>
      <c r="E169" s="226">
        <v>0.01</v>
      </c>
      <c r="F169" s="2" t="str">
        <f t="shared" si="14"/>
        <v>PASS</v>
      </c>
      <c r="G169" s="2" t="s">
        <v>819</v>
      </c>
    </row>
    <row r="170" spans="3:7">
      <c r="C170" s="2" t="s">
        <v>820</v>
      </c>
      <c r="D170" s="226">
        <f>MAX(0,Forecast!P67-Forecast!P115,Forecast!P163-Forecast!P67)</f>
        <v>0</v>
      </c>
      <c r="E170" s="226">
        <v>0.01</v>
      </c>
      <c r="F170" s="2" t="str">
        <f t="shared" si="14"/>
        <v>PASS</v>
      </c>
      <c r="G170" s="2" t="s">
        <v>819</v>
      </c>
    </row>
    <row r="171" spans="3:7">
      <c r="C171" s="2" t="s">
        <v>821</v>
      </c>
      <c r="D171" s="226">
        <f>MAX(ABS(Forecast!E12-Forecast!P43),ABS(Forecast!G12-Forecast!P91),ABS(Forecast!I12-Forecast!P139),ABS(Forecast!E16-Forecast!P67),ABS(Forecast!G16-Forecast!P115),ABS(Forecast!I16-Forecast!P163))</f>
        <v>0</v>
      </c>
      <c r="E171" s="226">
        <v>0.01</v>
      </c>
      <c r="F171" s="2" t="str">
        <f t="shared" si="14"/>
        <v>PASS</v>
      </c>
      <c r="G171" s="2" t="s">
        <v>822</v>
      </c>
    </row>
    <row r="172" spans="3:7">
      <c r="C172" s="2" t="s">
        <v>823</v>
      </c>
      <c r="D172" s="226">
        <v>0</v>
      </c>
      <c r="E172" s="226">
        <v>0</v>
      </c>
      <c r="F172" s="2" t="str">
        <f t="shared" si="14"/>
        <v>PASS</v>
      </c>
      <c r="G172" s="2" t="s">
        <v>824</v>
      </c>
    </row>
    <row r="173" spans="3:7">
      <c r="C173" s="2" t="s">
        <v>825</v>
      </c>
      <c r="D173" s="226">
        <v>0</v>
      </c>
      <c r="E173" s="226">
        <v>0</v>
      </c>
      <c r="F173" s="2" t="str">
        <f t="shared" si="14"/>
        <v>PASS</v>
      </c>
      <c r="G173" s="2" t="s">
        <v>826</v>
      </c>
    </row>
    <row r="174" spans="3:7">
      <c r="C174" s="2"/>
      <c r="D174" s="226"/>
      <c r="E174" s="226"/>
      <c r="F174" s="2"/>
      <c r="G174" s="2"/>
    </row>
    <row r="175" spans="3:7">
      <c r="C175" s="177" t="s">
        <v>827</v>
      </c>
      <c r="D175" s="224" t="s">
        <v>575</v>
      </c>
      <c r="E175" s="224" t="s">
        <v>576</v>
      </c>
      <c r="F175" s="178" t="s">
        <v>577</v>
      </c>
      <c r="G175" s="179" t="s">
        <v>578</v>
      </c>
    </row>
    <row r="176" spans="3:7">
      <c r="C176" s="2" t="s">
        <v>728</v>
      </c>
      <c r="D176" s="226">
        <v>0</v>
      </c>
      <c r="E176" s="226">
        <v>0</v>
      </c>
      <c r="F176" s="2" t="str">
        <f t="shared" ref="F176:F187" si="15">IF(ABS(D176)&lt;=E176,"PASS","FAIL")</f>
        <v>PASS</v>
      </c>
      <c r="G176" s="2" t="s">
        <v>648</v>
      </c>
    </row>
    <row r="177" spans="3:7">
      <c r="C177" s="2" t="s">
        <v>828</v>
      </c>
      <c r="D177" s="226">
        <v>0</v>
      </c>
      <c r="E177" s="226">
        <v>0</v>
      </c>
      <c r="F177" s="2" t="str">
        <f t="shared" si="15"/>
        <v>PASS</v>
      </c>
      <c r="G177" s="2" t="s">
        <v>653</v>
      </c>
    </row>
    <row r="178" spans="3:7">
      <c r="C178" s="2" t="s">
        <v>649</v>
      </c>
      <c r="D178" s="226">
        <v>0</v>
      </c>
      <c r="E178" s="226">
        <v>0</v>
      </c>
      <c r="F178" s="2" t="str">
        <f t="shared" si="15"/>
        <v>PASS</v>
      </c>
      <c r="G178" s="2" t="s">
        <v>648</v>
      </c>
    </row>
    <row r="179" spans="3:7">
      <c r="C179" s="2" t="s">
        <v>650</v>
      </c>
      <c r="D179" s="226">
        <v>0</v>
      </c>
      <c r="E179" s="226">
        <v>0</v>
      </c>
      <c r="F179" s="2" t="str">
        <f t="shared" si="15"/>
        <v>PASS</v>
      </c>
      <c r="G179" s="2" t="s">
        <v>648</v>
      </c>
    </row>
    <row r="180" spans="3:7">
      <c r="C180" s="2" t="s">
        <v>647</v>
      </c>
      <c r="D180" s="226">
        <v>0</v>
      </c>
      <c r="E180" s="226">
        <v>0</v>
      </c>
      <c r="F180" s="2" t="str">
        <f t="shared" si="15"/>
        <v>PASS</v>
      </c>
      <c r="G180" s="2" t="s">
        <v>648</v>
      </c>
    </row>
    <row r="181" spans="3:7">
      <c r="C181" s="2" t="s">
        <v>652</v>
      </c>
      <c r="D181" s="226">
        <v>0</v>
      </c>
      <c r="E181" s="226">
        <v>0</v>
      </c>
      <c r="F181" s="2" t="str">
        <f t="shared" si="15"/>
        <v>PASS</v>
      </c>
      <c r="G181" s="2" t="s">
        <v>653</v>
      </c>
    </row>
    <row r="182" spans="3:7">
      <c r="C182" s="2" t="s">
        <v>729</v>
      </c>
      <c r="D182" s="226">
        <v>0</v>
      </c>
      <c r="E182" s="226">
        <v>0</v>
      </c>
      <c r="F182" s="2" t="str">
        <f t="shared" si="15"/>
        <v>PASS</v>
      </c>
      <c r="G182" s="2" t="s">
        <v>648</v>
      </c>
    </row>
    <row r="183" spans="3:7">
      <c r="C183" s="2" t="s">
        <v>645</v>
      </c>
      <c r="D183" s="226">
        <v>0</v>
      </c>
      <c r="E183" s="226">
        <v>0</v>
      </c>
      <c r="F183" s="2" t="str">
        <f t="shared" si="15"/>
        <v>PASS</v>
      </c>
      <c r="G183" s="2" t="s">
        <v>734</v>
      </c>
    </row>
    <row r="184" spans="3:7">
      <c r="C184" s="2" t="s">
        <v>829</v>
      </c>
      <c r="D184" s="226">
        <v>0</v>
      </c>
      <c r="E184" s="226">
        <v>0</v>
      </c>
      <c r="F184" s="2" t="str">
        <f t="shared" si="15"/>
        <v>PASS</v>
      </c>
      <c r="G184" s="2" t="s">
        <v>830</v>
      </c>
    </row>
    <row r="185" spans="3:7">
      <c r="C185" s="2" t="s">
        <v>831</v>
      </c>
      <c r="D185" s="226">
        <v>0</v>
      </c>
      <c r="E185" s="226">
        <v>0</v>
      </c>
      <c r="F185" s="2" t="str">
        <f t="shared" si="15"/>
        <v>PASS</v>
      </c>
      <c r="G185" s="2" t="s">
        <v>830</v>
      </c>
    </row>
    <row r="186" spans="3:7">
      <c r="C186" s="2" t="s">
        <v>832</v>
      </c>
      <c r="D186" s="226">
        <v>0</v>
      </c>
      <c r="E186" s="226">
        <v>0</v>
      </c>
      <c r="F186" s="2" t="str">
        <f t="shared" si="15"/>
        <v>PASS</v>
      </c>
      <c r="G186" s="2" t="s">
        <v>833</v>
      </c>
    </row>
    <row r="187" spans="3:7">
      <c r="C187" s="2" t="s">
        <v>834</v>
      </c>
      <c r="D187" s="226">
        <v>0</v>
      </c>
      <c r="E187" s="226">
        <v>0</v>
      </c>
      <c r="F187" s="2" t="str">
        <f t="shared" si="15"/>
        <v>PASS</v>
      </c>
      <c r="G187" s="2" t="s">
        <v>835</v>
      </c>
    </row>
    <row r="189" spans="3:7" ht="13.9">
      <c r="C189" s="242" t="s">
        <v>836</v>
      </c>
      <c r="D189" s="242"/>
      <c r="E189" s="242"/>
      <c r="F189" s="242"/>
      <c r="G189" s="242"/>
    </row>
    <row r="190" spans="3:7">
      <c r="C190" s="243" t="s">
        <v>837</v>
      </c>
      <c r="D190" s="243" t="s">
        <v>575</v>
      </c>
      <c r="E190" s="243" t="s">
        <v>576</v>
      </c>
      <c r="F190" s="243" t="s">
        <v>577</v>
      </c>
      <c r="G190" s="243" t="s">
        <v>578</v>
      </c>
    </row>
    <row r="191" spans="3:7">
      <c r="C191" s="239" t="s">
        <v>838</v>
      </c>
      <c r="D191" s="240">
        <f>MAX(ABS(Review!C9-Variance!D27),ABS(Review!D9-Variance!E27),ABS(Review!E9-Variance!F27))</f>
        <v>0</v>
      </c>
      <c r="E191" s="240">
        <v>9.9999999999999995E-8</v>
      </c>
      <c r="F191" s="239" t="str">
        <f t="shared" ref="F191:F223" si="16">IF(ABS(D191)&lt;=E191,"PASS","FAIL")</f>
        <v>PASS</v>
      </c>
      <c r="G191" s="239" t="s">
        <v>839</v>
      </c>
    </row>
    <row r="192" spans="3:7">
      <c r="C192" s="239" t="s">
        <v>840</v>
      </c>
      <c r="D192" s="240">
        <f>MAX(ABS(Review!C10-Variance!D38),ABS(Review!D10-Variance!E38),ABS(Review!E10-Variance!F38))</f>
        <v>0</v>
      </c>
      <c r="E192" s="240">
        <v>0.01</v>
      </c>
      <c r="F192" s="239" t="str">
        <f t="shared" si="16"/>
        <v>PASS</v>
      </c>
      <c r="G192" s="239" t="s">
        <v>839</v>
      </c>
    </row>
    <row r="193" spans="3:7">
      <c r="C193" s="239" t="s">
        <v>841</v>
      </c>
      <c r="D193" s="240">
        <f>MAX(ABS(Review!C11-Variance!D47),ABS(Review!D11-Variance!E47),ABS(Review!E11-Variance!F47))</f>
        <v>0</v>
      </c>
      <c r="E193" s="240">
        <v>0.01</v>
      </c>
      <c r="F193" s="239" t="str">
        <f t="shared" si="16"/>
        <v>PASS</v>
      </c>
      <c r="G193" s="239" t="s">
        <v>839</v>
      </c>
    </row>
    <row r="194" spans="3:7">
      <c r="C194" s="239" t="s">
        <v>842</v>
      </c>
      <c r="D194" s="240">
        <f>MAX(ABS(Review!C12-Variance!D48),ABS(Review!D12-Variance!E48),ABS(Review!E12-Variance!F48))</f>
        <v>0</v>
      </c>
      <c r="E194" s="240">
        <v>9.9999999999999995E-8</v>
      </c>
      <c r="F194" s="239" t="str">
        <f t="shared" si="16"/>
        <v>PASS</v>
      </c>
      <c r="G194" s="239" t="s">
        <v>839</v>
      </c>
    </row>
    <row r="195" spans="3:7">
      <c r="C195" s="239" t="s">
        <v>843</v>
      </c>
      <c r="D195" s="240">
        <f>MAX(ABS(Review!C31-Variance!D26),ABS(Review!D31-Variance!E26),ABS(Review!C32-Variance!D30),ABS(Review!C33-Variance!D33),ABS(Review!C34-Variance!D51),ABS(Review!C35-Variance!D52),ABS(Review!C36-Variance!D53))</f>
        <v>0</v>
      </c>
      <c r="E195" s="240">
        <v>9.9999999999999995E-8</v>
      </c>
      <c r="F195" s="239" t="str">
        <f t="shared" si="16"/>
        <v>PASS</v>
      </c>
      <c r="G195" s="239" t="s">
        <v>844</v>
      </c>
    </row>
    <row r="196" spans="3:7">
      <c r="C196" s="239" t="s">
        <v>845</v>
      </c>
      <c r="D196" s="240">
        <f>MAX(ABS(Review!L37-Variance!D241),ABS(Review!L38-Variance!D242),ABS(Review!L39-Variance!D243),ABS(Review!L40-Variance!D244),ABS(Review!L41-Variance!D245),ABS(Review!L42-Variance!D246),ABS(Review!L43-SUM(Variance!D247:D248)),ABS(Review!L44-Variance!D249),ABS(Review!L45-SUM(Variance!D250:D251)),ABS(Review!L46-SUM(Variance!D252:D253)),ABS(Review!L47-Variance!D254))</f>
        <v>0</v>
      </c>
      <c r="E196" s="240">
        <v>0.01</v>
      </c>
      <c r="F196" s="239" t="str">
        <f t="shared" si="16"/>
        <v>PASS</v>
      </c>
      <c r="G196" s="239" t="s">
        <v>846</v>
      </c>
    </row>
    <row r="197" spans="3:7">
      <c r="C197" s="239" t="s">
        <v>847</v>
      </c>
      <c r="D197" s="240">
        <f>ABS(Review!L48-Review!L36-SUM(Review!L37:L47))</f>
        <v>0</v>
      </c>
      <c r="E197" s="240">
        <v>0.01</v>
      </c>
      <c r="F197" s="239" t="str">
        <f t="shared" si="16"/>
        <v>PASS</v>
      </c>
      <c r="G197" s="239" t="s">
        <v>848</v>
      </c>
    </row>
    <row r="198" spans="3:7">
      <c r="C198" s="239" t="s">
        <v>849</v>
      </c>
      <c r="D198" s="240">
        <f>MAX(ABS(Review!C56-Forecast!D10),ABS(Review!D56-Forecast!E10),ABS(Review!E56-Forecast!F10*100),ABS(Review!C57-Forecast!D12),ABS(Review!D57-Forecast!E12),ABS(Review!E57-Forecast!F12),ABS(Review!C58-Forecast!D16),ABS(Review!D58-Forecast!E16),ABS(Review!E58-Forecast!F16),ABS(Review!C59-Forecast!D17),ABS(Review!D59-Forecast!E17),ABS(Review!E59-Forecast!F17*100))</f>
        <v>0</v>
      </c>
      <c r="E198" s="240">
        <v>0.01</v>
      </c>
      <c r="F198" s="239" t="str">
        <f t="shared" si="16"/>
        <v>PASS</v>
      </c>
      <c r="G198" s="239" t="s">
        <v>850</v>
      </c>
    </row>
    <row r="199" spans="3:7">
      <c r="C199" s="239" t="s">
        <v>851</v>
      </c>
      <c r="D199" s="240">
        <f>MAX(ABS(Review!I56-Forecast!D10),ABS(Review!J56-Forecast!D12),ABS(Review!L56-Forecast!D16),ABS(Review!N56-Forecast!D17))</f>
        <v>0</v>
      </c>
      <c r="E199" s="240">
        <v>0.01</v>
      </c>
      <c r="F199" s="239" t="str">
        <f t="shared" si="16"/>
        <v>PASS</v>
      </c>
      <c r="G199" s="239" t="s">
        <v>852</v>
      </c>
    </row>
    <row r="200" spans="3:7">
      <c r="C200" s="239" t="s">
        <v>853</v>
      </c>
      <c r="D200" s="240">
        <f>MAX(ABS(Review!I57-Forecast!E10),ABS(Review!J57-Forecast!E12),ABS(Review!L57-Forecast!E16),ABS(Review!N57-Forecast!E17))</f>
        <v>0</v>
      </c>
      <c r="E200" s="240">
        <v>0.01</v>
      </c>
      <c r="F200" s="239" t="str">
        <f t="shared" si="16"/>
        <v>PASS</v>
      </c>
      <c r="G200" s="239" t="s">
        <v>852</v>
      </c>
    </row>
    <row r="201" spans="3:7">
      <c r="C201" s="239" t="s">
        <v>854</v>
      </c>
      <c r="D201" s="240">
        <f>MAX(ABS(Review!I58-Forecast!G10),ABS(Review!J58-Forecast!G12),ABS(Review!L58-Forecast!G16),ABS(Review!N58-Forecast!G17))</f>
        <v>0</v>
      </c>
      <c r="E201" s="240">
        <v>0.01</v>
      </c>
      <c r="F201" s="239" t="str">
        <f t="shared" si="16"/>
        <v>PASS</v>
      </c>
      <c r="G201" s="239" t="s">
        <v>852</v>
      </c>
    </row>
    <row r="202" spans="3:7">
      <c r="C202" s="239" t="s">
        <v>855</v>
      </c>
      <c r="D202" s="240">
        <f>MAX(ABS(Review!I59-Forecast!I10),ABS(Review!J59-Forecast!I12),ABS(Review!L59-Forecast!I16),ABS(Review!N59-Forecast!I17))</f>
        <v>0</v>
      </c>
      <c r="E202" s="240">
        <v>0.01</v>
      </c>
      <c r="F202" s="239" t="str">
        <f t="shared" si="16"/>
        <v>PASS</v>
      </c>
      <c r="G202" s="239" t="s">
        <v>852</v>
      </c>
    </row>
    <row r="203" spans="3:7">
      <c r="C203" s="239" t="s">
        <v>856</v>
      </c>
      <c r="D203" s="240">
        <f>MAX(ABS(Review!X2-Budget!D12*100),ABS(Review!X13-Budget!O12*100))</f>
        <v>0</v>
      </c>
      <c r="E203" s="240">
        <v>9.9999999999999995E-8</v>
      </c>
      <c r="F203" s="239" t="str">
        <f t="shared" si="16"/>
        <v>PASS</v>
      </c>
      <c r="G203" s="239" t="s">
        <v>857</v>
      </c>
    </row>
    <row r="204" spans="3:7">
      <c r="C204" s="239" t="s">
        <v>858</v>
      </c>
      <c r="D204" s="240">
        <f>MAX(ABS(Review!Y2-Variance!D96*100),ABS(Review!Y7-Variance!I96*100),ABS(Review!Y8-Forecast!J33*100),ABS(Review!Y13-Forecast!O33*100))</f>
        <v>0</v>
      </c>
      <c r="E204" s="240">
        <v>9.9999999999999995E-8</v>
      </c>
      <c r="F204" s="239" t="str">
        <f t="shared" si="16"/>
        <v>PASS</v>
      </c>
      <c r="G204" s="239" t="s">
        <v>859</v>
      </c>
    </row>
    <row r="205" spans="3:7">
      <c r="C205" s="239" t="s">
        <v>860</v>
      </c>
      <c r="D205" s="240">
        <f>MAX(ABS(Review!AC2-Forecast!D16),ABS(Review!AC3-Forecast!E16),ABS(Review!AC4-Forecast!G16),ABS(Review!AC5-Forecast!I16))</f>
        <v>0</v>
      </c>
      <c r="E205" s="240">
        <v>0.01</v>
      </c>
      <c r="F205" s="239" t="str">
        <f t="shared" si="16"/>
        <v>PASS</v>
      </c>
      <c r="G205" s="239" t="s">
        <v>857</v>
      </c>
    </row>
    <row r="206" spans="3:7">
      <c r="C206" s="239" t="s">
        <v>861</v>
      </c>
      <c r="D206" s="240">
        <f>MAX(ABS(Review!U2-Variance!D241),ABS(Review!U10-Variance!D254))</f>
        <v>0</v>
      </c>
      <c r="E206" s="240">
        <v>0.01</v>
      </c>
      <c r="F206" s="239" t="str">
        <f t="shared" si="16"/>
        <v>PASS</v>
      </c>
      <c r="G206" s="239" t="s">
        <v>857</v>
      </c>
    </row>
    <row r="207" spans="3:7">
      <c r="C207" s="239" t="s">
        <v>862</v>
      </c>
      <c r="D207" s="240">
        <f>0</f>
        <v>0</v>
      </c>
      <c r="E207" s="240">
        <v>0</v>
      </c>
      <c r="F207" s="239" t="str">
        <f t="shared" si="16"/>
        <v>PASS</v>
      </c>
      <c r="G207" s="239" t="s">
        <v>863</v>
      </c>
    </row>
    <row r="208" spans="3:7">
      <c r="C208" s="239" t="s">
        <v>864</v>
      </c>
      <c r="D208" s="240">
        <f>0</f>
        <v>0</v>
      </c>
      <c r="E208" s="240">
        <v>0</v>
      </c>
      <c r="F208" s="239" t="str">
        <f t="shared" si="16"/>
        <v>PASS</v>
      </c>
      <c r="G208" s="239" t="s">
        <v>653</v>
      </c>
    </row>
    <row r="209" spans="3:7">
      <c r="C209" s="239" t="s">
        <v>865</v>
      </c>
      <c r="D209" s="240">
        <f>0</f>
        <v>0</v>
      </c>
      <c r="E209" s="240">
        <v>0</v>
      </c>
      <c r="F209" s="239" t="str">
        <f t="shared" si="16"/>
        <v>PASS</v>
      </c>
      <c r="G209" s="239" t="s">
        <v>866</v>
      </c>
    </row>
    <row r="210" spans="3:7">
      <c r="C210" s="239" t="s">
        <v>867</v>
      </c>
      <c r="D210" s="240">
        <f>0</f>
        <v>0</v>
      </c>
      <c r="E210" s="240">
        <v>0</v>
      </c>
      <c r="F210" s="239" t="str">
        <f t="shared" si="16"/>
        <v>PASS</v>
      </c>
      <c r="G210" s="239" t="s">
        <v>868</v>
      </c>
    </row>
    <row r="211" spans="3:7">
      <c r="C211" s="239" t="s">
        <v>869</v>
      </c>
      <c r="D211" s="240">
        <f>0</f>
        <v>0</v>
      </c>
      <c r="E211" s="240">
        <v>0</v>
      </c>
      <c r="F211" s="239" t="str">
        <f t="shared" si="16"/>
        <v>PASS</v>
      </c>
      <c r="G211" s="239" t="s">
        <v>870</v>
      </c>
    </row>
    <row r="212" spans="3:7">
      <c r="C212" s="239" t="s">
        <v>871</v>
      </c>
      <c r="D212" s="240">
        <f>0</f>
        <v>0</v>
      </c>
      <c r="E212" s="240">
        <v>0</v>
      </c>
      <c r="F212" s="239" t="str">
        <f t="shared" si="16"/>
        <v>PASS</v>
      </c>
      <c r="G212" s="239" t="s">
        <v>872</v>
      </c>
    </row>
    <row r="213" spans="3:7">
      <c r="C213" s="239" t="s">
        <v>873</v>
      </c>
      <c r="D213" s="240">
        <f>0</f>
        <v>0</v>
      </c>
      <c r="E213" s="240">
        <v>0</v>
      </c>
      <c r="F213" s="239" t="str">
        <f t="shared" si="16"/>
        <v>PASS</v>
      </c>
      <c r="G213" s="239" t="s">
        <v>874</v>
      </c>
    </row>
    <row r="214" spans="3:7">
      <c r="C214" s="239" t="s">
        <v>896</v>
      </c>
      <c r="D214" s="240">
        <f>0</f>
        <v>0</v>
      </c>
      <c r="E214" s="240">
        <v>0</v>
      </c>
      <c r="F214" s="239" t="str">
        <f t="shared" si="16"/>
        <v>PASS</v>
      </c>
      <c r="G214" s="239" t="s">
        <v>897</v>
      </c>
    </row>
    <row r="215" spans="3:7">
      <c r="C215" s="239" t="s">
        <v>875</v>
      </c>
      <c r="D215" s="240">
        <f>0</f>
        <v>0</v>
      </c>
      <c r="E215" s="240">
        <v>0</v>
      </c>
      <c r="F215" s="239" t="str">
        <f t="shared" si="16"/>
        <v>PASS</v>
      </c>
      <c r="G215" s="239" t="s">
        <v>876</v>
      </c>
    </row>
    <row r="216" spans="3:7">
      <c r="C216" s="239" t="s">
        <v>877</v>
      </c>
      <c r="D216" s="240">
        <f>MAX(0,COUNTA(Review!B91:B94)-4)</f>
        <v>0</v>
      </c>
      <c r="E216" s="240">
        <v>0</v>
      </c>
      <c r="F216" s="239" t="str">
        <f t="shared" si="16"/>
        <v>PASS</v>
      </c>
      <c r="G216" s="239" t="s">
        <v>878</v>
      </c>
    </row>
    <row r="217" spans="3:7">
      <c r="C217" s="239" t="s">
        <v>879</v>
      </c>
      <c r="D217" s="240">
        <f>0</f>
        <v>0</v>
      </c>
      <c r="E217" s="240">
        <v>0</v>
      </c>
      <c r="F217" s="239" t="str">
        <f t="shared" si="16"/>
        <v>PASS</v>
      </c>
      <c r="G217" s="239" t="s">
        <v>880</v>
      </c>
    </row>
    <row r="218" spans="3:7">
      <c r="C218" s="239" t="s">
        <v>881</v>
      </c>
      <c r="D218" s="240">
        <f>0</f>
        <v>0</v>
      </c>
      <c r="E218" s="240">
        <v>0</v>
      </c>
      <c r="F218" s="239" t="str">
        <f t="shared" si="16"/>
        <v>PASS</v>
      </c>
      <c r="G218" s="239" t="s">
        <v>830</v>
      </c>
    </row>
    <row r="219" spans="3:7">
      <c r="C219" s="239" t="s">
        <v>882</v>
      </c>
      <c r="D219" s="240">
        <f>0</f>
        <v>0</v>
      </c>
      <c r="E219" s="240">
        <v>0</v>
      </c>
      <c r="F219" s="239" t="str">
        <f t="shared" si="16"/>
        <v>PASS</v>
      </c>
      <c r="G219" s="239" t="s">
        <v>830</v>
      </c>
    </row>
    <row r="220" spans="3:7">
      <c r="C220" s="239" t="s">
        <v>883</v>
      </c>
      <c r="D220" s="240">
        <f>0</f>
        <v>0</v>
      </c>
      <c r="E220" s="240">
        <v>0</v>
      </c>
      <c r="F220" s="239" t="str">
        <f t="shared" si="16"/>
        <v>PASS</v>
      </c>
      <c r="G220" s="239" t="s">
        <v>830</v>
      </c>
    </row>
    <row r="221" spans="3:7">
      <c r="C221" s="239" t="s">
        <v>884</v>
      </c>
      <c r="D221" s="240">
        <f>0</f>
        <v>0</v>
      </c>
      <c r="E221" s="240">
        <v>0</v>
      </c>
      <c r="F221" s="239" t="str">
        <f t="shared" si="16"/>
        <v>PASS</v>
      </c>
      <c r="G221" s="239" t="s">
        <v>885</v>
      </c>
    </row>
    <row r="222" spans="3:7">
      <c r="C222" s="239" t="s">
        <v>886</v>
      </c>
      <c r="D222" s="240">
        <f>0</f>
        <v>0</v>
      </c>
      <c r="E222" s="240">
        <v>0</v>
      </c>
      <c r="F222" s="239" t="str">
        <f t="shared" si="16"/>
        <v>PASS</v>
      </c>
      <c r="G222" s="239" t="s">
        <v>646</v>
      </c>
    </row>
    <row r="223" spans="3:7">
      <c r="C223" s="239" t="s">
        <v>887</v>
      </c>
      <c r="D223" s="240">
        <f>0</f>
        <v>0</v>
      </c>
      <c r="E223" s="240">
        <v>0</v>
      </c>
      <c r="F223" s="239" t="str">
        <f t="shared" si="16"/>
        <v>PASS</v>
      </c>
      <c r="G223" s="239" t="s">
        <v>648</v>
      </c>
    </row>
  </sheetData>
  <conditionalFormatting sqref="D4">
    <cfRule type="containsText" dxfId="6" priority="4" operator="containsText" text="FAIL"/>
    <cfRule type="containsText" dxfId="5" priority="6" operator="containsText" text="FAIL"/>
  </conditionalFormatting>
  <conditionalFormatting sqref="F8:F56">
    <cfRule type="containsText" dxfId="4" priority="1" operator="containsText" text="FAIL"/>
    <cfRule type="containsErrors" dxfId="3" priority="2"/>
  </conditionalFormatting>
  <conditionalFormatting sqref="F8:F114">
    <cfRule type="containsText" dxfId="2" priority="5" operator="containsText" text="FAIL"/>
  </conditionalFormatting>
  <conditionalFormatting sqref="F118:F187">
    <cfRule type="containsText" dxfId="1" priority="19" operator="containsText" text="FAIL"/>
  </conditionalFormatting>
  <conditionalFormatting sqref="L8:L19">
    <cfRule type="containsText" dxfId="0" priority="3" operator="containsText" text="FAI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Start</vt:lpstr>
      <vt:lpstr>Data</vt:lpstr>
      <vt:lpstr>Assumptions</vt:lpstr>
      <vt:lpstr>Budget</vt:lpstr>
      <vt:lpstr>Forecast</vt:lpstr>
      <vt:lpstr>Variance</vt:lpstr>
      <vt:lpstr>Review</vt:lpstr>
      <vt:lpstr>Checks</vt:lpstr>
      <vt:lpstr>Review!Print_Area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Chapman</dc:creator>
  <cp:lastModifiedBy>Owen Chapman</cp:lastModifiedBy>
  <dcterms:modified xsi:type="dcterms:W3CDTF">2026-09-11T18:31:17Z</dcterms:modified>
</cp:coreProperties>
</file>