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8fa8d1f83e4a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0a314573aed5406e"/>
    <x:sheet xmlns:r="http://schemas.openxmlformats.org/officeDocument/2006/relationships" name="Data" sheetId="2" r:id="R598035fb83414b93"/>
    <x:sheet xmlns:r="http://schemas.openxmlformats.org/officeDocument/2006/relationships" name="Assumptions" sheetId="3" r:id="R208a64c99ebc45d5"/>
    <x:sheet xmlns:r="http://schemas.openxmlformats.org/officeDocument/2006/relationships" name="Budget" sheetId="4" r:id="Rfd4828fd88744646"/>
    <x:sheet xmlns:r="http://schemas.openxmlformats.org/officeDocument/2006/relationships" name="Forecast" sheetId="5" r:id="Re6592b9d89764144"/>
    <x:sheet xmlns:r="http://schemas.openxmlformats.org/officeDocument/2006/relationships" name="Variance" sheetId="6" r:id="R3a894f2a30144c90"/>
    <x:sheet xmlns:r="http://schemas.openxmlformats.org/officeDocument/2006/relationships" name="Review" sheetId="7" r:id="R8e3c47cfcc4e4842"/>
    <x:sheet xmlns:r="http://schemas.openxmlformats.org/officeDocument/2006/relationships" name="Checks" sheetId="8" r:id="R652a2ac7cc2a48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mm/dd/yy"/>
    <x:numFmt numFmtId="201" formatCode="&quot;$&quot;#,##0.00;(&quot;$&quot;#,##0.00);-"/>
    <x:numFmt numFmtId="202" formatCode="#,##0"/>
    <x:numFmt numFmtId="203" formatCode="#,##0.00"/>
    <x:numFmt numFmtId="204" formatCode="0.0"/>
    <x:numFmt numFmtId="205" formatCode="0.0%"/>
    <x:numFmt numFmtId="206" formatCode="&quot;$&quot;#,##0.00"/>
    <x:numFmt numFmtId="207" formatCode="0.00"/>
    <x:numFmt numFmtId="208" formatCode="mmm-yy"/>
    <x:numFmt numFmtId="209" formatCode="#,##0;(#,##0);-"/>
    <x:numFmt numFmtId="210" formatCode="#,##0.0;(#,##0.0);-"/>
    <x:numFmt numFmtId="211" formatCode="&quot;$&quot;#,##0;(&quot;$&quot;#,##0);-"/>
  </x:numFmts>
  <x:fonts count="16">
    <x:font>
      <x:sz val="11"/>
      <x:name val="Carlito"/>
    </x:font>
    <x:font>
      <x:sz val="10"/>
      <x:color rgb="FF1F2937"/>
      <x:name val="Arial"/>
    </x:font>
    <x:font>
      <x:b/>
      <x:sz val="15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i/>
      <x:sz val="10"/>
      <x:color rgb="FF667085"/>
      <x:name val="Arial"/>
    </x:font>
    <x:font>
      <x:i/>
      <x:sz val="9"/>
      <x:color rgb="FF667085"/>
      <x:name val="Arial"/>
    </x:font>
    <x:font>
      <x:b/>
      <x:sz val="10"/>
      <x:color rgb="FF1F2937"/>
      <x:name val="Arial"/>
    </x:font>
    <x:font>
      <x:i/>
      <x:sz val="10"/>
      <x:color rgb="FF1F2937"/>
      <x:name val="Arial"/>
    </x:font>
    <x:font>
      <x:b/>
      <x:i/>
      <x:sz val="10"/>
      <x:color rgb="FF1F2937"/>
      <x:name val="Arial"/>
    </x:font>
    <x:font>
      <x:sz val="10"/>
      <x:color rgb="FF008000"/>
      <x:name val="Arial"/>
    </x:font>
    <x:font>
      <x:i/>
      <x:sz val="10"/>
      <x:color rgb="FF008000"/>
      <x:name val="Arial"/>
    </x:font>
    <x:font>
      <x:b/>
      <x:sz val="12"/>
      <x:color rgb="FF17365D"/>
      <x:name val="Arial"/>
    </x:font>
    <x:font>
      <x:b/>
      <x:sz val="11"/>
      <x:color rgb="FF17365D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D9EAF0"/>
      </x:patternFill>
    </x:fill>
    <x:fill>
      <x:patternFill patternType="solid">
        <x:fgColor rgb="FFF2F2F2"/>
      </x:patternFill>
    </x:fill>
  </x:fills>
  <x:borders count="27">
    <x:border/>
    <x:border>
      <x:left style="medium">
        <x:color rgb="FFD6B656"/>
      </x:left>
      <x:top style="medium">
        <x:color rgb="FFD6B656"/>
      </x:top>
    </x:border>
    <x:border>
      <x:top style="medium">
        <x:color rgb="FFD6B656"/>
      </x:top>
    </x:border>
    <x:border>
      <x:right style="medium">
        <x:color rgb="FFD6B656"/>
      </x:right>
      <x:top style="medium">
        <x:color rgb="FFD6B656"/>
      </x:top>
    </x:border>
    <x:border>
      <x:left style="medium">
        <x:color rgb="FFD6B656"/>
      </x:left>
      <x:bottom style="medium">
        <x:color rgb="FFD6B656"/>
      </x:bottom>
    </x:border>
    <x:border>
      <x:bottom style="medium">
        <x:color rgb="FFD6B656"/>
      </x:bottom>
    </x:border>
    <x:border>
      <x:right style="medium">
        <x:color rgb="FFD6B656"/>
      </x:right>
      <x:bottom style="medium">
        <x:color rgb="FFD6B65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B7C3D0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B7C3D0"/>
      </x:left>
      <x:top style="thin">
        <x:color rgb="FFB7C3D0"/>
      </x:top>
      <x:bottom style="thin">
        <x:color rgb="FFB7C3D0"/>
      </x:bottom>
    </x:border>
    <x:border>
      <x:top style="thin">
        <x:color rgb="FFB7C3D0"/>
      </x:top>
      <x:bottom style="thin">
        <x:color rgb="FFB7C3D0"/>
      </x:bottom>
    </x:border>
    <x:border>
      <x:right style="thin">
        <x:color rgb="FFB7C3D0"/>
      </x:right>
      <x:top style="thin">
        <x:color rgb="FFB7C3D0"/>
      </x:top>
      <x:bottom style="thin">
        <x:color rgb="FFB7C3D0"/>
      </x:bottom>
    </x:border>
    <x:border>
      <x:bottom style="thin">
        <x:color rgb="FF17365D"/>
      </x:bottom>
    </x:border>
    <x:border>
      <x:bottom style="double">
        <x:color rgb="FF17365D"/>
      </x:bottom>
    </x:border>
    <x:border>
      <x:left style="thin">
        <x:color rgb="FFB7C3D0"/>
      </x:left>
      <x:top style="thin">
        <x:color rgb="FFB7C3D0"/>
      </x:top>
    </x:border>
    <x:border>
      <x:top style="thin">
        <x:color rgb="FFB7C3D0"/>
      </x:top>
    </x:border>
    <x:border>
      <x:right style="thin">
        <x:color rgb="FFB7C3D0"/>
      </x:right>
      <x:top style="thin">
        <x:color rgb="FFB7C3D0"/>
      </x:top>
    </x:border>
    <x:border>
      <x:left style="thin">
        <x:color rgb="FFB7C3D0"/>
      </x:left>
      <x:bottom style="thin">
        <x:color rgb="FFB7C3D0"/>
      </x:bottom>
    </x:border>
    <x:border>
      <x:bottom style="thin">
        <x:color rgb="FFB7C3D0"/>
      </x:bottom>
    </x:border>
    <x:border>
      <x:right style="thin">
        <x:color rgb="FFB7C3D0"/>
      </x:right>
      <x:bottom style="thin">
        <x:color rgb="FFB7C3D0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16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/>
    <x:xf numFmtId="0" fontId="3" fillId="2" borderId="6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3" borderId="7" xfId="0" applyNumberFormat="1" applyFont="1" applyFill="1" applyBorder="1" applyAlignment="1">
      <x:alignment vertical="center"/>
    </x:xf>
    <x:xf numFmtId="0" fontId="4" fillId="3" borderId="7" xfId="0" applyNumberFormat="1" applyFont="1" applyFill="1" applyBorder="1" applyAlignment="1">
      <x:alignment vertical="center"/>
    </x:xf>
    <x:xf numFmtId="0" fontId="4" fillId="3" borderId="7" xfId="0" applyNumberFormat="1" applyFont="1" applyFill="1" applyBorder="1" applyAlignment="1">
      <x:alignment horizontal="center" vertical="center"/>
    </x:xf>
    <x:xf numFmtId="0" fontId="4" fillId="3" borderId="7" xfId="0" applyNumberFormat="1" applyFont="1" applyFill="1" applyBorder="1" applyAlignment="1">
      <x:alignment horizontal="center" vertical="center" wrapText="1"/>
    </x:xf>
    <x:xf numFmtId="0" fontId="1" fillId="4" borderId="8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200" fontId="1" fillId="4" borderId="8" xfId="0" applyNumberFormat="1" applyFont="1" applyFill="1" applyBorder="1" applyAlignment="1">
      <x:alignment vertical="center"/>
    </x:xf>
    <x:xf numFmtId="200" fontId="1" fillId="4" borderId="9" xfId="0" applyNumberFormat="1" applyFont="1" applyFill="1" applyBorder="1" applyAlignment="1">
      <x:alignment vertical="center"/>
    </x:xf>
    <x:xf numFmtId="201" fontId="1" fillId="4" borderId="8" xfId="0" applyNumberFormat="1" applyFont="1" applyFill="1" applyBorder="1" applyAlignment="1">
      <x:alignment vertical="center"/>
    </x:xf>
    <x:xf numFmtId="201" fontId="1" fillId="4" borderId="9" xfId="0" applyNumberFormat="1" applyFont="1" applyFill="1" applyBorder="1" applyAlignment="1">
      <x:alignment vertical="center"/>
    </x:xf>
    <x:xf numFmtId="202" fontId="1" fillId="4" borderId="8" xfId="0" applyNumberFormat="1" applyFont="1" applyFill="1" applyBorder="1" applyAlignment="1">
      <x:alignment vertical="center"/>
    </x:xf>
    <x:xf numFmtId="202" fontId="1" fillId="4" borderId="9" xfId="0" applyNumberFormat="1" applyFont="1" applyFill="1" applyBorder="1" applyAlignment="1">
      <x:alignment vertical="center"/>
    </x:xf>
    <x:xf numFmtId="203" fontId="1" fillId="4" borderId="8" xfId="0" applyNumberFormat="1" applyFont="1" applyFill="1" applyBorder="1" applyAlignment="1">
      <x:alignment vertical="center"/>
    </x:xf>
    <x:xf numFmtId="203" fontId="1" fillId="4" borderId="9" xfId="0" applyNumberFormat="1" applyFont="1" applyFill="1" applyBorder="1" applyAlignment="1">
      <x:alignment vertical="center"/>
    </x:xf>
    <x:xf numFmtId="204" fontId="1" fillId="4" borderId="8" xfId="0" applyNumberFormat="1" applyFont="1" applyFill="1" applyBorder="1" applyAlignment="1">
      <x:alignment vertical="center"/>
    </x:xf>
    <x:xf numFmtId="204" fontId="1" fillId="4" borderId="9" xfId="0" applyNumberFormat="1" applyFont="1" applyFill="1" applyBorder="1" applyAlignment="1">
      <x:alignment vertical="center"/>
    </x:xf>
    <x:xf numFmtId="0" fontId="1" fillId="4" borderId="8" xfId="0" applyNumberFormat="1" applyFont="1" applyFill="1" applyBorder="1" applyAlignment="1">
      <x:alignment vertical="center" wrapText="1"/>
    </x:xf>
    <x:xf numFmtId="0" fontId="1" fillId="4" borderId="9" xfId="0" applyNumberFormat="1" applyFont="1" applyFill="1" applyBorder="1" applyAlignment="1">
      <x:alignment vertical="center" wrapText="1"/>
    </x:xf>
    <x:xf numFmtId="0" fontId="1" fillId="2" borderId="8" xfId="0" applyNumberFormat="1" applyFont="1" applyFill="1" applyBorder="1" applyAlignment="1">
      <x:alignment vertical="center"/>
    </x:xf>
    <x:xf numFmtId="0" fontId="1" fillId="2" borderId="9" xfId="0" applyNumberFormat="1" applyFont="1" applyFill="1" applyBorder="1" applyAlignment="1">
      <x:alignment vertical="center"/>
    </x:xf>
    <x:xf numFmtId="0" fontId="5" fillId="2" borderId="8" xfId="0" applyNumberFormat="1" applyFont="1" applyFill="1" applyBorder="1" applyAlignment="1">
      <x:alignment vertical="center"/>
    </x:xf>
    <x:xf numFmtId="0" fontId="5" fillId="2" borderId="9" xfId="0" applyNumberFormat="1" applyFont="1" applyFill="1" applyBorder="1" applyAlignment="1">
      <x:alignment vertical="center"/>
    </x:xf>
    <x:xf numFmtId="200" fontId="1" fillId="2" borderId="8" xfId="0" applyNumberFormat="1" applyFont="1" applyFill="1" applyBorder="1" applyAlignment="1">
      <x:alignment vertical="center"/>
    </x:xf>
    <x:xf numFmtId="200" fontId="1" fillId="2" borderId="9" xfId="0" applyNumberFormat="1" applyFont="1" applyFill="1" applyBorder="1" applyAlignment="1">
      <x:alignment vertical="center"/>
    </x:xf>
    <x:xf numFmtId="202" fontId="5" fillId="2" borderId="8" xfId="0" applyNumberFormat="1" applyFont="1" applyFill="1" applyBorder="1" applyAlignment="1">
      <x:alignment vertical="center"/>
    </x:xf>
    <x:xf numFmtId="202" fontId="5" fillId="2" borderId="9" xfId="0" applyNumberFormat="1" applyFont="1" applyFill="1" applyBorder="1" applyAlignment="1">
      <x:alignment vertical="center"/>
    </x:xf>
    <x:xf numFmtId="205" fontId="5" fillId="2" borderId="8" xfId="0" applyNumberFormat="1" applyFont="1" applyFill="1" applyBorder="1" applyAlignment="1">
      <x:alignment vertical="center"/>
    </x:xf>
    <x:xf numFmtId="205" fontId="5" fillId="2" borderId="9" xfId="0" applyNumberFormat="1" applyFont="1" applyFill="1" applyBorder="1" applyAlignment="1">
      <x:alignment vertical="center"/>
    </x:xf>
    <x:xf numFmtId="206" fontId="5" fillId="2" borderId="8" xfId="0" applyNumberFormat="1" applyFont="1" applyFill="1" applyBorder="1" applyAlignment="1">
      <x:alignment vertical="center"/>
    </x:xf>
    <x:xf numFmtId="206" fontId="5" fillId="2" borderId="9" xfId="0" applyNumberFormat="1" applyFont="1" applyFill="1" applyBorder="1" applyAlignment="1">
      <x:alignment vertical="center"/>
    </x:xf>
    <x:xf numFmtId="207" fontId="5" fillId="2" borderId="8" xfId="0" applyNumberFormat="1" applyFont="1" applyFill="1" applyBorder="1" applyAlignment="1">
      <x:alignment vertical="center"/>
    </x:xf>
    <x:xf numFmtId="207" fontId="5" fillId="2" borderId="9" xfId="0" applyNumberFormat="1" applyFont="1" applyFill="1" applyBorder="1" applyAlignment="1">
      <x:alignment vertical="center"/>
    </x:xf>
    <x:xf numFmtId="204" fontId="5" fillId="2" borderId="8" xfId="0" applyNumberFormat="1" applyFont="1" applyFill="1" applyBorder="1" applyAlignment="1">
      <x:alignment vertical="center"/>
    </x:xf>
    <x:xf numFmtId="204" fontId="5" fillId="2" borderId="9" xfId="0" applyNumberFormat="1" applyFont="1" applyFill="1" applyBorder="1" applyAlignment="1">
      <x:alignment vertical="center"/>
    </x:xf>
    <x:xf numFmtId="0" fontId="4" fillId="3" borderId="10" xfId="0" applyNumberFormat="1" applyFont="1" applyFill="1" applyBorder="1" applyAlignment="1">
      <x:alignment vertical="center"/>
    </x:xf>
    <x:xf numFmtId="0" fontId="4" fillId="3" borderId="11" xfId="0" applyNumberFormat="1" applyFont="1" applyFill="1" applyBorder="1" applyAlignment="1">
      <x:alignment vertical="center"/>
    </x:xf>
    <x:xf numFmtId="0" fontId="4" fillId="3" borderId="12" xfId="0" applyNumberFormat="1" applyFont="1" applyFill="1" applyBorder="1" applyAlignment="1">
      <x:alignment vertical="center"/>
    </x:xf>
    <x:xf numFmtId="0" fontId="4" fillId="3" borderId="10" xfId="0" applyNumberFormat="1" applyFont="1" applyFill="1" applyBorder="1" applyAlignment="1">
      <x:alignment horizontal="center" vertical="center"/>
    </x:xf>
    <x:xf numFmtId="0" fontId="4" fillId="3" borderId="11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horizontal="center" vertical="center"/>
    </x:xf>
    <x:xf numFmtId="208" fontId="4" fillId="3" borderId="11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3" xfId="0" applyNumberFormat="1" applyFont="1" applyFill="1" applyBorder="1" applyAlignment="1">
      <x:alignment vertical="center"/>
    </x:xf>
    <x:xf numFmtId="0" fontId="3" fillId="5" borderId="14" xfId="0" applyNumberFormat="1" applyFont="1" applyFill="1" applyBorder="1" applyAlignment="1">
      <x:alignment vertical="center"/>
    </x:xf>
    <x:xf numFmtId="0" fontId="3" fillId="5" borderId="15" xfId="0" applyNumberFormat="1" applyFont="1" applyFill="1" applyBorder="1" applyAlignment="1">
      <x:alignment vertical="center"/>
    </x:xf>
    <x:xf numFmtId="0" fontId="9" fillId="5" borderId="15" xfId="0" applyNumberFormat="1" applyFont="1" applyFill="1" applyBorder="1" applyAlignment="1">
      <x:alignment vertical="center"/>
    </x:xf>
    <x:xf numFmtId="209" fontId="6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7" fontId="6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11" fontId="6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11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9" fontId="12" fillId="0" borderId="0" xfId="0" applyNumberFormat="1" applyFont="1" applyFill="1" applyBorder="1" applyAlignment="1">
      <x:alignment vertical="center"/>
    </x:xf>
    <x:xf numFmtId="205" fontId="13" fillId="0" borderId="0" xfId="0" applyNumberFormat="1" applyFont="1" applyFill="1" applyBorder="1" applyAlignment="1">
      <x:alignment vertical="center"/>
    </x:xf>
    <x:xf numFmtId="201" fontId="12" fillId="0" borderId="0" xfId="0" applyNumberFormat="1" applyFont="1" applyFill="1" applyBorder="1" applyAlignment="1">
      <x:alignment vertical="center"/>
    </x:xf>
    <x:xf numFmtId="207" fontId="13" fillId="0" borderId="0" xfId="0" applyNumberFormat="1" applyFont="1" applyFill="1" applyBorder="1" applyAlignment="1">
      <x:alignment vertical="center"/>
    </x:xf>
    <x:xf numFmtId="201" fontId="13" fillId="0" borderId="0" xfId="0" applyNumberFormat="1" applyFont="1" applyFill="1" applyBorder="1" applyAlignment="1">
      <x:alignment vertical="center"/>
    </x:xf>
    <x:xf numFmtId="204" fontId="12" fillId="0" borderId="0" xfId="0" applyNumberFormat="1" applyFont="1" applyFill="1" applyBorder="1" applyAlignment="1">
      <x:alignment vertical="center"/>
    </x:xf>
    <x:xf numFmtId="211" fontId="12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211" fontId="9" fillId="0" borderId="0" xfId="0" applyNumberFormat="1" applyFont="1" applyFill="1" applyBorder="1" applyAlignment="1">
      <x:alignment vertical="center"/>
    </x:xf>
    <x:xf numFmtId="0" fontId="9" fillId="0" borderId="16" xfId="0" applyNumberFormat="1" applyFont="1" applyFill="1" applyBorder="1" applyAlignment="1">
      <x:alignment vertical="center"/>
    </x:xf>
    <x:xf numFmtId="211" fontId="9" fillId="0" borderId="16" xfId="0" applyNumberFormat="1" applyFont="1" applyFill="1" applyBorder="1" applyAlignment="1">
      <x:alignment vertical="center"/>
    </x:xf>
    <x:xf numFmtId="0" fontId="9" fillId="0" borderId="17" xfId="0" applyNumberFormat="1" applyFont="1" applyFill="1" applyBorder="1" applyAlignment="1">
      <x:alignment vertical="center"/>
    </x:xf>
    <x:xf numFmtId="211" fontId="9" fillId="0" borderId="17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4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/>
    <x:xf numFmtId="0" fontId="14" fillId="6" borderId="18" xfId="0" applyNumberFormat="1" applyFont="1" applyFill="1" applyBorder="1" applyAlignment="1">
      <x:alignment vertical="center"/>
    </x:xf>
    <x:xf numFmtId="0" fontId="14" fillId="6" borderId="19" xfId="0" applyNumberFormat="1" applyFont="1" applyFill="1" applyBorder="1"/>
    <x:xf numFmtId="0" fontId="14" fillId="6" borderId="20" xfId="0" applyNumberFormat="1" applyFont="1" applyFill="1" applyBorder="1"/>
    <x:xf numFmtId="0" fontId="14" fillId="6" borderId="21" xfId="0" applyNumberFormat="1" applyFont="1" applyFill="1" applyBorder="1" applyAlignment="1">
      <x:alignment vertical="center"/>
    </x:xf>
    <x:xf numFmtId="0" fontId="14" fillId="6" borderId="22" xfId="0" applyNumberFormat="1" applyFont="1" applyFill="1" applyBorder="1"/>
    <x:xf numFmtId="0" fontId="14" fillId="6" borderId="23" xfId="0" applyNumberFormat="1" applyFont="1" applyFill="1" applyBorder="1"/>
    <x:xf numFmtId="0" fontId="14" fillId="6" borderId="18" xfId="0" applyNumberFormat="1" applyFont="1" applyFill="1" applyBorder="1" applyAlignment="1">
      <x:alignment horizontal="center" vertical="center"/>
    </x:xf>
    <x:xf numFmtId="0" fontId="14" fillId="6" borderId="19" xfId="0" applyNumberFormat="1" applyFont="1" applyFill="1" applyBorder="1" applyAlignment="1">
      <x:alignment horizontal="center"/>
    </x:xf>
    <x:xf numFmtId="0" fontId="14" fillId="6" borderId="20" xfId="0" applyNumberFormat="1" applyFont="1" applyFill="1" applyBorder="1" applyAlignment="1">
      <x:alignment horizontal="center"/>
    </x:xf>
    <x:xf numFmtId="0" fontId="14" fillId="6" borderId="21" xfId="0" applyNumberFormat="1" applyFont="1" applyFill="1" applyBorder="1" applyAlignment="1">
      <x:alignment horizontal="center" vertical="center"/>
    </x:xf>
    <x:xf numFmtId="0" fontId="14" fillId="6" borderId="22" xfId="0" applyNumberFormat="1" applyFont="1" applyFill="1" applyBorder="1" applyAlignment="1">
      <x:alignment horizontal="center"/>
    </x:xf>
    <x:xf numFmtId="0" fontId="14" fillId="6" borderId="23" xfId="0" applyNumberFormat="1" applyFont="1" applyFill="1" applyBorder="1" applyAlignment="1">
      <x:alignment horizontal="center"/>
    </x:xf>
    <x:xf numFmtId="0" fontId="14" fillId="6" borderId="19" xfId="0" applyNumberFormat="1" applyFont="1" applyFill="1" applyBorder="1" applyAlignment="1">
      <x:alignment horizontal="center" vertical="center"/>
    </x:xf>
    <x:xf numFmtId="0" fontId="14" fillId="6" borderId="20" xfId="0" applyNumberFormat="1" applyFont="1" applyFill="1" applyBorder="1" applyAlignment="1">
      <x:alignment horizontal="center" vertical="center"/>
    </x:xf>
    <x:xf numFmtId="0" fontId="14" fillId="6" borderId="22" xfId="0" applyNumberFormat="1" applyFont="1" applyFill="1" applyBorder="1" applyAlignment="1">
      <x:alignment horizontal="center" vertical="center"/>
    </x:xf>
    <x:xf numFmtId="0" fontId="14" fillId="6" borderId="23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wrapText="1"/>
    </x:xf>
    <x:xf numFmtId="0" fontId="15" fillId="6" borderId="0" xfId="0" applyNumberFormat="1" applyFont="1" applyFill="1" applyBorder="1" applyAlignment="1">
      <x:alignment vertical="center"/>
    </x:xf>
    <x:xf numFmtId="0" fontId="15" fillId="6" borderId="24" xfId="0" applyNumberFormat="1" applyFont="1" applyFill="1" applyBorder="1" applyAlignment="1">
      <x:alignment vertical="center"/>
    </x:xf>
    <x:xf numFmtId="0" fontId="15" fillId="6" borderId="25" xfId="0" applyNumberFormat="1" applyFont="1" applyFill="1" applyBorder="1" applyAlignment="1">
      <x:alignment vertical="center"/>
    </x:xf>
    <x:xf numFmtId="0" fontId="3" fillId="5" borderId="13" xfId="0" applyNumberFormat="1" applyFont="1" applyFill="1" applyBorder="1" applyAlignment="1">
      <x:alignment vertical="center" wrapText="1"/>
    </x:xf>
    <x:xf numFmtId="0" fontId="3" fillId="5" borderId="14" xfId="0" applyNumberFormat="1" applyFont="1" applyFill="1" applyBorder="1" applyAlignment="1">
      <x:alignment vertical="center" wrapText="1"/>
    </x:xf>
    <x:xf numFmtId="0" fontId="3" fillId="5" borderId="15" xfId="0" applyNumberFormat="1" applyFont="1" applyFill="1" applyBorder="1" applyAlignment="1">
      <x:alignment vertical="center" wrapText="1"/>
    </x:xf>
    <x:xf numFmtId="0" fontId="3" fillId="5" borderId="14" xfId="0" applyNumberFormat="1" applyFont="1" applyFill="1" applyBorder="1" applyAlignment="1">
      <x:alignment horizontal="center" vertical="center" wrapText="1"/>
    </x:xf>
    <x:xf numFmtId="0" fontId="3" fillId="5" borderId="15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8" fontId="1" fillId="0" borderId="0" xfId="0" applyNumberFormat="1" applyFont="1" applyFill="1" applyBorder="1" applyAlignment="1">
      <x:alignment vertical="center"/>
    </x:xf>
    <x:xf numFmtId="207" fontId="3" fillId="5" borderId="14" xfId="0" applyNumberFormat="1" applyFont="1" applyFill="1" applyBorder="1" applyAlignment="1">
      <x:alignment horizontal="center" vertical="center" wrapText="1"/>
    </x:xf>
    <x:xf numFmtId="207" fontId="1" fillId="0" borderId="7" xfId="0" applyNumberFormat="1" applyFont="1" applyFill="1" applyBorder="1" applyAlignment="1">
      <x:alignment vertical="center"/>
    </x:xf>
    <x:xf numFmtId="207" fontId="1" fillId="0" borderId="8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 wrapText="1"/>
    </x:xf>
    <x:xf numFmtId="0" fontId="3" fillId="5" borderId="8" xfId="0" applyNumberFormat="1" applyFont="1" applyFill="1" applyBorder="1" applyAlignment="1">
      <x:alignment vertical="center" wrapText="1"/>
    </x:xf>
    <x:xf numFmtId="207" fontId="3" fillId="5" borderId="8" xfId="0" applyNumberFormat="1" applyFont="1" applyFill="1" applyBorder="1" applyAlignment="1">
      <x:alignment horizontal="center" vertical="center" wrapText="1"/>
    </x:xf>
    <x:xf numFmtId="0" fontId="3" fillId="5" borderId="8" xfId="0" applyNumberFormat="1" applyFont="1" applyFill="1" applyBorder="1" applyAlignment="1">
      <x:alignment horizontal="center" vertical="center" wrapText="1"/>
    </x:xf>
    <x:xf numFmtId="0" fontId="1" fillId="0" borderId="26" xfId="0" applyNumberFormat="1" applyFont="1" applyFill="1" applyBorder="1" applyAlignment="1">
      <x:alignment vertical="center"/>
    </x:xf>
    <x:xf numFmtId="207" fontId="1" fillId="0" borderId="26" xfId="0" applyNumberFormat="1" applyFont="1" applyFill="1" applyBorder="1" applyAlignment="1">
      <x:alignment vertical="center"/>
    </x:xf>
    <x:xf numFmtId="0" fontId="1" fillId="0" borderId="2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C00000"/>
      </x:font>
      <x:fill>
        <x:patternFill patternType="solid">
          <x:bgColor rgb="FFFDE9E7"/>
        </x:patternFill>
      </x:fill>
    </x:dxf>
    <x:dxf>
      <x:font>
        <x:b/>
        <x:color rgb="FFC00000"/>
      </x:font>
      <x:fill>
        <x:patternFill patternType="solid">
          <x:bgColor rgb="FFFDE9E7"/>
        </x:patternFill>
      </x:fill>
    </x:dxf>
    <x:dxf>
      <x:font>
        <x:b/>
        <x:color rgb="FFC00000"/>
      </x:font>
      <x:fill>
        <x:patternFill patternType="solid">
          <x:bgColor rgb="FFFDE9E7"/>
        </x:patternFill>
      </x:fill>
    </x:dxf>
    <x:dxf>
      <x:font>
        <x:b/>
        <x:color rgb="FFC0000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053f29f9de4c65" /><Relationship Type="http://schemas.openxmlformats.org/officeDocument/2006/relationships/theme" Target="/xl/theme/theme1.xml" Id="Rc0f157bd79d84d6f" /><Relationship Type="http://schemas.openxmlformats.org/officeDocument/2006/relationships/sharedStrings" Target="/xl/sharedStrings.xml" Id="R366728f860e147c0" /><Relationship Type="http://schemas.openxmlformats.org/officeDocument/2006/relationships/worksheet" Target="/xl/worksheets/sheet1.xml" Id="R0a314573aed5406e" /><Relationship Type="http://schemas.openxmlformats.org/officeDocument/2006/relationships/worksheet" Target="/xl/worksheets/sheet2.xml" Id="R598035fb83414b93" /><Relationship Type="http://schemas.openxmlformats.org/officeDocument/2006/relationships/worksheet" Target="/xl/worksheets/sheet3.xml" Id="R208a64c99ebc45d5" /><Relationship Type="http://schemas.openxmlformats.org/officeDocument/2006/relationships/worksheet" Target="/xl/worksheets/sheet4.xml" Id="Rfd4828fd88744646" /><Relationship Type="http://schemas.openxmlformats.org/officeDocument/2006/relationships/worksheet" Target="/xl/worksheets/sheet5.xml" Id="Re6592b9d89764144" /><Relationship Type="http://schemas.openxmlformats.org/officeDocument/2006/relationships/worksheet" Target="/xl/worksheets/sheet6.xml" Id="R3a894f2a30144c90" /><Relationship Type="http://schemas.openxmlformats.org/officeDocument/2006/relationships/worksheet" Target="/xl/worksheets/sheet7.xml" Id="R8e3c47cfcc4e4842" /><Relationship Type="http://schemas.openxmlformats.org/officeDocument/2006/relationships/worksheet" Target="/xl/worksheets/sheet8.xml" Id="R652a2ac7cc2a48d3" /></Relationships>
</file>

<file path=xl/tables/table1.xml><?xml version="1.0" encoding="utf-8"?>
<x:table xmlns:x="http://schemas.openxmlformats.org/spreadsheetml/2006/main" id="1" name="tblFinancialActuals" displayName="tblFinancialActuals" ref="C7:G151" headerRowCount="1" totalsRowCount="0" totalsRowShown="0">
  <x:tableColumns count="5">
    <x:tableColumn id="1" name="case_version"/>
    <x:tableColumn id="2" name="period"/>
    <x:tableColumn id="3" name="account_code"/>
    <x:tableColumn id="4" name="account_name"/>
    <x:tableColumn id="5" name="amount_us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OperatingActuals" displayName="tblOperatingActuals" ref="C157:G193" headerRowCount="1" totalsRowCount="0" totalsRowShown="0">
  <x:tableColumns count="5">
    <x:tableColumn id="1" name="case_version"/>
    <x:tableColumn id="2" name="period"/>
    <x:tableColumn id="3" name="segment"/>
    <x:tableColumn id="4" name="occupied_room_nights"/>
    <x:tableColumn id="5" name="room_reven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LaborActuals" displayName="tblLaborActuals" ref="C199:H217" headerRowCount="1" totalsRowCount="0" totalsRowShown="0">
  <x:tableColumns count="6">
    <x:tableColumn id="1" name="case_version"/>
    <x:tableColumn id="2" name="period"/>
    <x:tableColumn id="3" name="housekeeping_hours"/>
    <x:tableColumn id="4" name="housekeeping_payroll"/>
    <x:tableColumn id="5" name="fixed_staff_fte"/>
    <x:tableColumn id="6" name="fixed_staff_payrol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seUpdates" displayName="tblCaseUpdates" ref="C223:J230" headerRowCount="1" totalsRowCount="0" totalsRowShown="0">
  <x:tableColumns count="8">
    <x:tableColumn id="1" name="update_id"/>
    <x:tableColumn id="2" name="as_of_date"/>
    <x:tableColumn id="3" name="effective_start"/>
    <x:tableColumn id="4" name="effective_end"/>
    <x:tableColumn id="5" name="category"/>
    <x:tableColumn id="6" name="observation"/>
    <x:tableColumn id="7" name="evidence_status"/>
    <x:tableColumn id="8" name="forecast_relev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BudgetAssumptions" displayName="tblBudgetAssumptions" ref="C7:R19" headerRowCount="1" totalsRowCount="0" totalsRowShown="0">
  <x:tableColumns count="16">
    <x:tableColumn id="1" name="case_version"/>
    <x:tableColumn id="2" name="period"/>
    <x:tableColumn id="3" name="rooms_available"/>
    <x:tableColumn id="4" name="total_occupied_room_nights"/>
    <x:tableColumn id="5" name="corporate_share"/>
    <x:tableColumn id="6" name="retail_adr"/>
    <x:tableColumn id="7" name="corporate_adr"/>
    <x:tableColumn id="8" name="housekeeping_hours_per_occupied_room"/>
    <x:tableColumn id="9" name="housekeeping_loaded_wage_per_hour"/>
    <x:tableColumn id="10" name="guest_service_cost_per_occupied_room"/>
    <x:tableColumn id="11" name="distribution_fee_rate"/>
    <x:tableColumn id="12" name="fixed_staff_fte"/>
    <x:tableColumn id="13" name="fixed_staff_loaded_cost_per_fte"/>
    <x:tableColumn id="14" name="rent"/>
    <x:tableColumn id="15" name="property_overhead"/>
    <x:tableColumn id="16" name="marketing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2164c3ff6e844ab" /><Relationship Type="http://schemas.openxmlformats.org/officeDocument/2006/relationships/table" Target="/xl/tables/table2.xml" Id="Rfe53e62bd93b4bbc" /><Relationship Type="http://schemas.openxmlformats.org/officeDocument/2006/relationships/table" Target="/xl/tables/table3.xml" Id="Reb201008fc024536" /><Relationship Type="http://schemas.openxmlformats.org/officeDocument/2006/relationships/table" Target="/xl/tables/table4.xml" Id="Rc40670bed9f24e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5.xml" Id="R82cd1bd7c00343d6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3" max="3" width="25" hidden="0" customWidth="1"/>
    <x:col min="4" max="4" width="80" hidden="0" customWidth="1"/>
    <x:col min="5" max="5" width="20" hidden="0" customWidth="1"/>
  </x:cols>
  <x:sheetData>
    <x:row r="2" ht="25" customHeight="1">
      <x:c r="C2" s="3" t="str">
        <x:v>Palmetto Stay — Operating Performance Review &amp; Reforecast</x:v>
      </x:c>
      <x:c r="D2" s="3"/>
      <x:c r="E2" s="3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>
      <x:c r="C3" s="2"/>
      <x:c r="D3" s="2"/>
      <x:c r="E3" s="2"/>
    </x:row>
    <x:row r="4">
      <x:c r="C4" s="17" t="str">
        <x:v>SYNTHETIC DATA: Palmetto Stay is fictional. All company-specific budgets, actuals, operating records, staffing information, and management updates are synthetic and contain no confidential company information.</x:v>
      </x:c>
      <x:c r="D4" s="18"/>
      <x:c r="E4" s="18"/>
      <x:c r="F4" s="18"/>
      <x:c r="G4" s="18"/>
      <x:c r="H4" s="18"/>
      <x:c r="I4" s="18"/>
      <x:c r="J4" s="18"/>
      <x:c r="K4" s="18"/>
      <x:c r="L4" s="18"/>
      <x:c r="M4" s="18"/>
      <x:c r="N4" s="18"/>
      <x:c r="O4" s="18"/>
      <x:c r="P4" s="25"/>
    </x:row>
    <x:row r="5">
      <x:c r="C5" s="21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6"/>
    </x:row>
    <x:row r="6">
      <x:c r="C6" s="2"/>
      <x:c r="D6" s="2"/>
      <x:c r="E6" s="2"/>
    </x:row>
    <x:row r="7" ht="28" customHeight="1">
      <x:c r="C7" s="37" t="str">
        <x:v>Workbook purpose</x:v>
      </x:c>
      <x:c r="D7" s="38" t="str">
        <x:v>Load frozen source facts and calculate the approved 2026 operating budget from its authorized drivers.</x:v>
      </x:c>
      <x:c r="E7" s="2"/>
    </x:row>
    <x:row r="8" ht="28" customHeight="1">
      <x:c r="C8" s="37" t="str">
        <x:v>Case version</x:v>
      </x:c>
      <x:c r="D8" s="38" t="str">
        <x:v>v1.0</x:v>
      </x:c>
      <x:c r="E8" s="2"/>
    </x:row>
    <x:row r="9" ht="28" customHeight="1">
      <x:c r="C9" s="37" t="str">
        <x:v>Current build status</x:v>
      </x:c>
      <x:c r="D9" s="38" t="str">
        <x:v>Phase 2 — final architecture and approved annual budget</x:v>
      </x:c>
      <x:c r="E9" s="2"/>
    </x:row>
    <x:row r="10">
      <x:c r="C10" s="2"/>
      <x:c r="D10" s="2"/>
      <x:c r="E10" s="2"/>
    </x:row>
    <x:row r="11">
      <x:c r="C11" s="30" t="str">
        <x:v>Worksheet</x:v>
      </x:c>
      <x:c r="D11" s="30" t="str">
        <x:v>Role</x:v>
      </x:c>
      <x:c r="E11" s="30" t="str">
        <x:v>Phase 2 status</x:v>
      </x:c>
    </x:row>
    <x:row r="12">
      <x:c r="C12" s="31" t="str">
        <x:v>Start</x:v>
      </x:c>
      <x:c r="D12" s="31" t="str">
        <x:v>Purpose, navigation, conventions, and use instructions</x:v>
      </x:c>
      <x:c r="E12" s="31" t="str">
        <x:v>Complete</x:v>
      </x:c>
    </x:row>
    <x:row r="13">
      <x:c r="C13" s="32" t="str">
        <x:v>Data</x:v>
      </x:c>
      <x:c r="D13" s="32" t="str">
        <x:v>Frozen recorded actuals and dated case information</x:v>
      </x:c>
      <x:c r="E13" s="32" t="str">
        <x:v>Imported</x:v>
      </x:c>
    </x:row>
    <x:row r="14">
      <x:c r="C14" s="32" t="str">
        <x:v>Assumptions</x:v>
      </x:c>
      <x:c r="D14" s="32" t="str">
        <x:v>Frozen approved 2026 budget drivers</x:v>
      </x:c>
      <x:c r="E14" s="32" t="str">
        <x:v>Imported</x:v>
      </x:c>
    </x:row>
    <x:row r="15">
      <x:c r="C15" s="32" t="str">
        <x:v>Budget</x:v>
      </x:c>
      <x:c r="D15" s="32" t="str">
        <x:v>Formula-driven approved 2026 operating budget</x:v>
      </x:c>
      <x:c r="E15" s="32" t="str">
        <x:v>Complete</x:v>
      </x:c>
    </x:row>
    <x:row r="16">
      <x:c r="C16" s="32" t="str">
        <x:v>Forecast</x:v>
      </x:c>
      <x:c r="D16" s="32" t="str">
        <x:v>Actualized forecast and scenarios</x:v>
      </x:c>
      <x:c r="E16" s="32" t="str">
        <x:v>Phase 4</x:v>
      </x:c>
    </x:row>
    <x:row r="17">
      <x:c r="C17" s="32" t="str">
        <x:v>Variance</x:v>
      </x:c>
      <x:c r="D17" s="32" t="str">
        <x:v>Actual-versus-budget analysis</x:v>
      </x:c>
      <x:c r="E17" s="32" t="str">
        <x:v>Phase 3</x:v>
      </x:c>
    </x:row>
    <x:row r="18">
      <x:c r="C18" s="32" t="str">
        <x:v>Review</x:v>
      </x:c>
      <x:c r="D18" s="32" t="str">
        <x:v>Two-page management-facing review</x:v>
      </x:c>
      <x:c r="E18" s="32" t="str">
        <x:v>Later phase</x:v>
      </x:c>
    </x:row>
    <x:row r="19">
      <x:c r="C19" s="33" t="str">
        <x:v>Checks</x:v>
      </x:c>
      <x:c r="D19" s="33" t="str">
        <x:v>Terminal source, model, aggregation, and package controls</x:v>
      </x:c>
      <x:c r="E19" s="33" t="str">
        <x:v>Complete</x:v>
      </x:c>
    </x:row>
    <x:row r="20">
      <x:c r="C20" s="2"/>
      <x:c r="D20" s="2"/>
      <x:c r="E20" s="2"/>
    </x:row>
    <x:row r="21" ht="34" customHeight="1">
      <x:c r="C21" s="37" t="str">
        <x:v>Model-use instructions</x:v>
      </x:c>
      <x:c r="D21" s="38" t="str">
        <x:v>Review the frozen source tables, trace Budget links to Assumptions, and inspect formulas before using results.</x:v>
      </x:c>
      <x:c r="E21" s="2"/>
    </x:row>
    <x:row r="22" ht="34" customHeight="1">
      <x:c r="C22" s="39" t="str">
        <x:v>Required control step</x:v>
      </x:c>
      <x:c r="D22" s="40" t="str">
        <x:v>Review the Checks tab before relying on this workbook. This instruction is static and is not linked to a check result.</x:v>
      </x:c>
      <x:c r="E22" s="2"/>
    </x:row>
    <x:row r="23" ht="34" customHeight="1">
      <x:c r="C23" s="37" t="str">
        <x:v>Later-phase status</x:v>
      </x:c>
      <x:c r="D23" s="38" t="str">
        <x:v>Forecast, Variance, and Review contain status notices only. No forecast, variance, scenario, or management output is available in Phase 2.</x:v>
      </x:c>
      <x:c r="E23" s="2"/>
    </x:row>
    <x:row r="24" ht="34" customHeight="1">
      <x:c r="C24" s="37" t="str">
        <x:v>Expense convention</x:v>
      </x:c>
      <x:c r="D24" s="38" t="str">
        <x:v>Expenses are positive values and are subtracted when calculating property operating contribution.</x:v>
      </x:c>
      <x:c r="E24" s="2"/>
    </x:row>
    <x:row r="25" ht="34" customHeight="1">
      <x:c r="C25" s="37" t="str">
        <x:v>Future variance convention</x:v>
      </x:c>
      <x:c r="D25" s="38" t="str">
        <x:v>Cost change will equal Actual minus Budget; positive cost change is unfavorable. Contribution impact will reverse cost changes.</x:v>
      </x:c>
      <x:c r="E25" s="2"/>
    </x:row>
    <x:row r="26">
      <x:c r="C26" s="2"/>
      <x:c r="D26" s="2"/>
      <x:c r="E26" s="2"/>
    </x:row>
    <x:row r="27">
      <x:c r="C27" s="2"/>
      <x:c r="D27" s="2"/>
      <x:c r="E27" s="2"/>
    </x:row>
    <x:row r="28">
      <x:c r="C28" s="30" t="str">
        <x:v>Color and format legend</x:v>
      </x:c>
      <x:c r="D28" s="30" t="str">
        <x:v>Meaning</x:v>
      </x:c>
      <x:c r="E28" s="2"/>
    </x:row>
    <x:row r="29">
      <x:c r="C29" s="34" t="str">
        <x:v>Approved source input</x:v>
      </x:c>
      <x:c r="D29" s="2" t="str">
        <x:v>Blue font with pale-yellow fill</x:v>
      </x:c>
      <x:c r="E29" s="2"/>
    </x:row>
    <x:row r="30">
      <x:c r="C30" s="35" t="str">
        <x:v>Recorded source fact</x:v>
      </x:c>
      <x:c r="D30" s="2" t="str">
        <x:v>Dark text with pale-blue fill</x:v>
      </x:c>
      <x:c r="E30" s="2"/>
    </x:row>
    <x:row r="31">
      <x:c r="C31" s="36" t="str">
        <x:v>Cross-sheet formula</x:v>
      </x:c>
      <x:c r="D31" s="2" t="str">
        <x:v>Green font</x:v>
      </x:c>
      <x:c r="E31" s="2"/>
    </x:row>
    <x:row r="32">
      <x:c r="C32" s="2" t="str">
        <x:v>Same-sheet formula or result</x:v>
      </x:c>
      <x:c r="D32" s="2" t="str">
        <x:v>Black font</x:v>
      </x:c>
      <x:c r="E32" s="2"/>
    </x:row>
    <x:row r="33">
      <x:c r="C33" s="2"/>
      <x:c r="D33" s="2"/>
      <x:c r="E33" s="2"/>
    </x:row>
    <x:row r="34">
      <x:c r="C34" s="27" t="str">
        <x:v>Property</x:v>
      </x:c>
      <x:c r="D34" s="2" t="str">
        <x:v>One independently operated, leased limited-service hotel with 100 rooms</x:v>
      </x:c>
      <x:c r="E34" s="2"/>
    </x:row>
    <x:row r="35">
      <x:c r="C35" s="27" t="str">
        <x:v>Scope</x:v>
      </x:c>
      <x:c r="D35" s="2" t="str">
        <x:v>Room revenue and modeled property operating costs only</x:v>
      </x:c>
      <x:c r="E35" s="2"/>
    </x:row>
  </x:sheetData>
  <x:mergeCells>
    <x:mergeCell ref="C2:P2"/>
    <x:mergeCell ref="C4:P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A6A6A6"/>
  </x:sheetPr>
  <x:sheetViews>
    <x:sheetView showGridLines="0" workbookViewId="0">
      <x:pane xSplit="4" ySplit="7" topLeftCell="E8" activePane="bottomRight" state="frozen"/>
    </x:sheetView>
  </x:sheetViews>
  <x:sheetFormatPr defaultRowHeight="15"/>
  <x:cols>
    <x:col min="3" max="3" width="16" hidden="0" customWidth="1"/>
    <x:col min="4" max="4" width="13" hidden="0" customWidth="1"/>
    <x:col min="5" max="5" width="24" hidden="0" customWidth="1"/>
    <x:col min="6" max="6" width="28" hidden="0" customWidth="1"/>
    <x:col min="7" max="7" width="20" hidden="0" customWidth="1"/>
    <x:col min="8" max="8" width="65" hidden="0" customWidth="1"/>
    <x:col min="9" max="9" width="23" hidden="0" customWidth="1"/>
    <x:col min="10" max="10" width="65" hidden="0" customWidth="1"/>
  </x:cols>
  <x:sheetData>
    <x:row r="2" ht="25" customHeight="1">
      <x:c r="C2" s="3" t="str">
        <x:v>Frozen source data</x:v>
      </x:c>
      <x:c r="D2" s="3"/>
      <x:c r="E2" s="3"/>
      <x:c r="F2" s="3"/>
      <x:c r="G2" s="3"/>
      <x:c r="H2" s="3"/>
      <x:c r="I2" s="3"/>
      <x:c r="J2" s="3"/>
    </x:row>
    <x:row r="3">
      <x:c r="C3" s="41" t="str">
        <x:v>Static imports from case version v1.0. Actual KPIs and variances are intentionally not calculated on this sheet.</x:v>
      </x:c>
      <x:c r="D3" s="41"/>
      <x:c r="E3" s="41"/>
      <x:c r="F3" s="41"/>
      <x:c r="G3" s="41"/>
      <x:c r="H3" s="41"/>
      <x:c r="I3" s="41"/>
      <x:c r="J3" s="41"/>
    </x:row>
    <x:row r="4">
      <x:c r="C4" s="2"/>
      <x:c r="D4" s="2"/>
      <x:c r="E4" s="2"/>
      <x:c r="F4" s="2"/>
      <x:c r="G4" s="2"/>
      <x:c r="H4" s="2"/>
      <x:c r="I4" s="2"/>
      <x:c r="J4" s="2"/>
    </x:row>
    <x:row r="5">
      <x:c r="C5" s="41" t="str">
        <x:v>Source: data/financial_actuals.csv | Case version: v1.0 | Static recorded facts</x:v>
      </x:c>
      <x:c r="D5" s="41"/>
      <x:c r="E5" s="41"/>
      <x:c r="F5" s="41"/>
      <x:c r="G5" s="41"/>
      <x:c r="H5" s="41"/>
      <x:c r="I5" s="41"/>
      <x:c r="J5" s="41"/>
    </x:row>
    <x:row r="6">
      <x:c r="C6" s="2"/>
      <x:c r="D6" s="2"/>
      <x:c r="E6" s="2"/>
      <x:c r="F6" s="2"/>
      <x:c r="G6" s="2"/>
      <x:c r="H6" s="2"/>
      <x:c r="I6" s="2"/>
      <x:c r="J6" s="2"/>
    </x:row>
    <x:row r="7" ht="34" customHeight="1">
      <x:c r="C7" s="45" t="str">
        <x:v>case_version</x:v>
      </x:c>
      <x:c r="D7" s="45" t="str">
        <x:v>period</x:v>
      </x:c>
      <x:c r="E7" s="45" t="str">
        <x:v>account_code</x:v>
      </x:c>
      <x:c r="F7" s="45" t="str">
        <x:v>account_name</x:v>
      </x:c>
      <x:c r="G7" s="45" t="str">
        <x:v>amount_usd</x:v>
      </x:c>
      <x:c r="H7" s="2"/>
      <x:c r="I7" s="2"/>
      <x:c r="J7" s="2"/>
    </x:row>
    <x:row r="8">
      <x:c r="C8" s="46" t="str">
        <x:v>v1.0</x:v>
      </x:c>
      <x:c r="D8" s="48" t="n">
        <x:v>45658</x:v>
      </x:c>
      <x:c r="E8" s="46" t="str">
        <x:v>4000</x:v>
      </x:c>
      <x:c r="F8" s="46" t="str">
        <x:v>Room Revenue</x:v>
      </x:c>
      <x:c r="G8" s="50" t="n">
        <x:v>223203.5</x:v>
      </x:c>
      <x:c r="H8" s="2"/>
      <x:c r="I8" s="2"/>
      <x:c r="J8" s="2"/>
    </x:row>
    <x:row r="9">
      <x:c r="C9" s="46" t="str">
        <x:v>v1.0</x:v>
      </x:c>
      <x:c r="D9" s="48" t="n">
        <x:v>45658</x:v>
      </x:c>
      <x:c r="E9" s="46" t="str">
        <x:v>5000</x:v>
      </x:c>
      <x:c r="F9" s="46" t="str">
        <x:v>Housekeeping Payroll</x:v>
      </x:c>
      <x:c r="G9" s="50" t="n">
        <x:v>18834.45</x:v>
      </x:c>
      <x:c r="H9" s="2"/>
      <x:c r="I9" s="2"/>
      <x:c r="J9" s="2"/>
    </x:row>
    <x:row r="10">
      <x:c r="C10" s="46" t="str">
        <x:v>v1.0</x:v>
      </x:c>
      <x:c r="D10" s="48" t="n">
        <x:v>45658</x:v>
      </x:c>
      <x:c r="E10" s="46" t="str">
        <x:v>5100</x:v>
      </x:c>
      <x:c r="F10" s="46" t="str">
        <x:v>Guest Services</x:v>
      </x:c>
      <x:c r="G10" s="50" t="n">
        <x:v>28458</x:v>
      </x:c>
      <x:c r="H10" s="2"/>
      <x:c r="I10" s="2"/>
      <x:c r="J10" s="2"/>
    </x:row>
    <x:row r="11">
      <x:c r="C11" s="46" t="str">
        <x:v>v1.0</x:v>
      </x:c>
      <x:c r="D11" s="48" t="n">
        <x:v>45658</x:v>
      </x:c>
      <x:c r="E11" s="46" t="str">
        <x:v>5200</x:v>
      </x:c>
      <x:c r="F11" s="46" t="str">
        <x:v>Distribution and Payment</x:v>
      </x:c>
      <x:c r="G11" s="50" t="n">
        <x:v>8928.14</x:v>
      </x:c>
      <x:c r="H11" s="2"/>
      <x:c r="I11" s="2"/>
      <x:c r="J11" s="2"/>
    </x:row>
    <x:row r="12">
      <x:c r="C12" s="46" t="str">
        <x:v>v1.0</x:v>
      </x:c>
      <x:c r="D12" s="48" t="n">
        <x:v>45658</x:v>
      </x:c>
      <x:c r="E12" s="46" t="str">
        <x:v>6000</x:v>
      </x:c>
      <x:c r="F12" s="46" t="str">
        <x:v>Fixed Staff Payroll</x:v>
      </x:c>
      <x:c r="G12" s="50" t="n">
        <x:v>28750</x:v>
      </x:c>
      <x:c r="H12" s="2"/>
      <x:c r="I12" s="2"/>
      <x:c r="J12" s="2"/>
    </x:row>
    <x:row r="13">
      <x:c r="C13" s="46" t="str">
        <x:v>v1.0</x:v>
      </x:c>
      <x:c r="D13" s="48" t="n">
        <x:v>45658</x:v>
      </x:c>
      <x:c r="E13" s="46" t="str">
        <x:v>6100</x:v>
      </x:c>
      <x:c r="F13" s="46" t="str">
        <x:v>Rent</x:v>
      </x:c>
      <x:c r="G13" s="50" t="n">
        <x:v>76000</x:v>
      </x:c>
      <x:c r="H13" s="2"/>
      <x:c r="I13" s="2"/>
      <x:c r="J13" s="2"/>
    </x:row>
    <x:row r="14">
      <x:c r="C14" s="46" t="str">
        <x:v>v1.0</x:v>
      </x:c>
      <x:c r="D14" s="48" t="n">
        <x:v>45658</x:v>
      </x:c>
      <x:c r="E14" s="46" t="str">
        <x:v>6200</x:v>
      </x:c>
      <x:c r="F14" s="46" t="str">
        <x:v>Property Overhead</x:v>
      </x:c>
      <x:c r="G14" s="50" t="n">
        <x:v>26800</x:v>
      </x:c>
      <x:c r="H14" s="2"/>
      <x:c r="I14" s="2"/>
      <x:c r="J14" s="2"/>
    </x:row>
    <x:row r="15">
      <x:c r="C15" s="46" t="str">
        <x:v>v1.0</x:v>
      </x:c>
      <x:c r="D15" s="48" t="n">
        <x:v>45658</x:v>
      </x:c>
      <x:c r="E15" s="46" t="str">
        <x:v>6300</x:v>
      </x:c>
      <x:c r="F15" s="46" t="str">
        <x:v>Marketing</x:v>
      </x:c>
      <x:c r="G15" s="50" t="n">
        <x:v>9000</x:v>
      </x:c>
      <x:c r="H15" s="2"/>
      <x:c r="I15" s="2"/>
      <x:c r="J15" s="2"/>
    </x:row>
    <x:row r="16">
      <x:c r="C16" s="46" t="str">
        <x:v>v1.0</x:v>
      </x:c>
      <x:c r="D16" s="48" t="n">
        <x:v>45689</x:v>
      </x:c>
      <x:c r="E16" s="46" t="str">
        <x:v>4000</x:v>
      </x:c>
      <x:c r="F16" s="46" t="str">
        <x:v>Room Revenue</x:v>
      </x:c>
      <x:c r="G16" s="50" t="n">
        <x:v>221271</x:v>
      </x:c>
      <x:c r="H16" s="2"/>
      <x:c r="I16" s="2"/>
      <x:c r="J16" s="2"/>
    </x:row>
    <x:row r="17">
      <x:c r="C17" s="46" t="str">
        <x:v>v1.0</x:v>
      </x:c>
      <x:c r="D17" s="48" t="n">
        <x:v>45689</x:v>
      </x:c>
      <x:c r="E17" s="46" t="str">
        <x:v>5000</x:v>
      </x:c>
      <x:c r="F17" s="46" t="str">
        <x:v>Housekeeping Payroll</x:v>
      </x:c>
      <x:c r="G17" s="50" t="n">
        <x:v>18110.4</x:v>
      </x:c>
      <x:c r="H17" s="2"/>
      <x:c r="I17" s="2"/>
      <x:c r="J17" s="2"/>
    </x:row>
    <x:row r="18">
      <x:c r="C18" s="46" t="str">
        <x:v>v1.0</x:v>
      </x:c>
      <x:c r="D18" s="48" t="n">
        <x:v>45689</x:v>
      </x:c>
      <x:c r="E18" s="46" t="str">
        <x:v>5100</x:v>
      </x:c>
      <x:c r="F18" s="46" t="str">
        <x:v>Guest Services</x:v>
      </x:c>
      <x:c r="G18" s="50" t="n">
        <x:v>28028</x:v>
      </x:c>
      <x:c r="H18" s="2"/>
      <x:c r="I18" s="2"/>
      <x:c r="J18" s="2"/>
    </x:row>
    <x:row r="19">
      <x:c r="C19" s="46" t="str">
        <x:v>v1.0</x:v>
      </x:c>
      <x:c r="D19" s="48" t="n">
        <x:v>45689</x:v>
      </x:c>
      <x:c r="E19" s="46" t="str">
        <x:v>5200</x:v>
      </x:c>
      <x:c r="F19" s="46" t="str">
        <x:v>Distribution and Payment</x:v>
      </x:c>
      <x:c r="G19" s="50" t="n">
        <x:v>8850.84</x:v>
      </x:c>
      <x:c r="H19" s="2"/>
      <x:c r="I19" s="2"/>
      <x:c r="J19" s="2"/>
    </x:row>
    <x:row r="20">
      <x:c r="C20" s="46" t="str">
        <x:v>v1.0</x:v>
      </x:c>
      <x:c r="D20" s="48" t="n">
        <x:v>45689</x:v>
      </x:c>
      <x:c r="E20" s="46" t="str">
        <x:v>6000</x:v>
      </x:c>
      <x:c r="F20" s="46" t="str">
        <x:v>Fixed Staff Payroll</x:v>
      </x:c>
      <x:c r="G20" s="50" t="n">
        <x:v>28800</x:v>
      </x:c>
      <x:c r="H20" s="2"/>
      <x:c r="I20" s="2"/>
      <x:c r="J20" s="2"/>
    </x:row>
    <x:row r="21">
      <x:c r="C21" s="46" t="str">
        <x:v>v1.0</x:v>
      </x:c>
      <x:c r="D21" s="48" t="n">
        <x:v>45689</x:v>
      </x:c>
      <x:c r="E21" s="46" t="str">
        <x:v>6100</x:v>
      </x:c>
      <x:c r="F21" s="46" t="str">
        <x:v>Rent</x:v>
      </x:c>
      <x:c r="G21" s="50" t="n">
        <x:v>76000</x:v>
      </x:c>
      <x:c r="H21" s="2"/>
      <x:c r="I21" s="2"/>
      <x:c r="J21" s="2"/>
    </x:row>
    <x:row r="22">
      <x:c r="C22" s="46" t="str">
        <x:v>v1.0</x:v>
      </x:c>
      <x:c r="D22" s="48" t="n">
        <x:v>45689</x:v>
      </x:c>
      <x:c r="E22" s="46" t="str">
        <x:v>6200</x:v>
      </x:c>
      <x:c r="F22" s="46" t="str">
        <x:v>Property Overhead</x:v>
      </x:c>
      <x:c r="G22" s="50" t="n">
        <x:v>26950</x:v>
      </x:c>
      <x:c r="H22" s="2"/>
      <x:c r="I22" s="2"/>
      <x:c r="J22" s="2"/>
    </x:row>
    <x:row r="23">
      <x:c r="C23" s="46" t="str">
        <x:v>v1.0</x:v>
      </x:c>
      <x:c r="D23" s="48" t="n">
        <x:v>45689</x:v>
      </x:c>
      <x:c r="E23" s="46" t="str">
        <x:v>6300</x:v>
      </x:c>
      <x:c r="F23" s="46" t="str">
        <x:v>Marketing</x:v>
      </x:c>
      <x:c r="G23" s="50" t="n">
        <x:v>8500</x:v>
      </x:c>
      <x:c r="H23" s="2"/>
      <x:c r="I23" s="2"/>
      <x:c r="J23" s="2"/>
    </x:row>
    <x:row r="24">
      <x:c r="C24" s="46" t="str">
        <x:v>v1.0</x:v>
      </x:c>
      <x:c r="D24" s="48" t="n">
        <x:v>45717</x:v>
      </x:c>
      <x:c r="E24" s="46" t="str">
        <x:v>4000</x:v>
      </x:c>
      <x:c r="F24" s="46" t="str">
        <x:v>Room Revenue</x:v>
      </x:c>
      <x:c r="G24" s="50" t="n">
        <x:v>289432.5</x:v>
      </x:c>
      <x:c r="H24" s="2"/>
      <x:c r="I24" s="2"/>
      <x:c r="J24" s="2"/>
    </x:row>
    <x:row r="25">
      <x:c r="C25" s="46" t="str">
        <x:v>v1.0</x:v>
      </x:c>
      <x:c r="D25" s="48" t="n">
        <x:v>45717</x:v>
      </x:c>
      <x:c r="E25" s="46" t="str">
        <x:v>5000</x:v>
      </x:c>
      <x:c r="F25" s="46" t="str">
        <x:v>Housekeeping Payroll</x:v>
      </x:c>
      <x:c r="G25" s="50" t="n">
        <x:v>22610.86</x:v>
      </x:c>
      <x:c r="H25" s="2"/>
      <x:c r="I25" s="2"/>
      <x:c r="J25" s="2"/>
    </x:row>
    <x:row r="26">
      <x:c r="C26" s="46" t="str">
        <x:v>v1.0</x:v>
      </x:c>
      <x:c r="D26" s="48" t="n">
        <x:v>45717</x:v>
      </x:c>
      <x:c r="E26" s="46" t="str">
        <x:v>5100</x:v>
      </x:c>
      <x:c r="F26" s="46" t="str">
        <x:v>Guest Services</x:v>
      </x:c>
      <x:c r="G26" s="50" t="n">
        <x:v>35935.2</x:v>
      </x:c>
      <x:c r="H26" s="2"/>
      <x:c r="I26" s="2"/>
      <x:c r="J26" s="2"/>
    </x:row>
    <x:row r="27">
      <x:c r="C27" s="46" t="str">
        <x:v>v1.0</x:v>
      </x:c>
      <x:c r="D27" s="48" t="n">
        <x:v>45717</x:v>
      </x:c>
      <x:c r="E27" s="46" t="str">
        <x:v>5200</x:v>
      </x:c>
      <x:c r="F27" s="46" t="str">
        <x:v>Distribution and Payment</x:v>
      </x:c>
      <x:c r="G27" s="50" t="n">
        <x:v>11577.3</x:v>
      </x:c>
      <x:c r="H27" s="2"/>
      <x:c r="I27" s="2"/>
      <x:c r="J27" s="2"/>
    </x:row>
    <x:row r="28">
      <x:c r="C28" s="46" t="str">
        <x:v>v1.0</x:v>
      </x:c>
      <x:c r="D28" s="48" t="n">
        <x:v>45717</x:v>
      </x:c>
      <x:c r="E28" s="46" t="str">
        <x:v>6000</x:v>
      </x:c>
      <x:c r="F28" s="46" t="str">
        <x:v>Fixed Staff Payroll</x:v>
      </x:c>
      <x:c r="G28" s="50" t="n">
        <x:v>28322</x:v>
      </x:c>
      <x:c r="H28" s="2"/>
      <x:c r="I28" s="2"/>
      <x:c r="J28" s="2"/>
    </x:row>
    <x:row r="29">
      <x:c r="C29" s="46" t="str">
        <x:v>v1.0</x:v>
      </x:c>
      <x:c r="D29" s="48" t="n">
        <x:v>45717</x:v>
      </x:c>
      <x:c r="E29" s="46" t="str">
        <x:v>6100</x:v>
      </x:c>
      <x:c r="F29" s="46" t="str">
        <x:v>Rent</x:v>
      </x:c>
      <x:c r="G29" s="50" t="n">
        <x:v>76000</x:v>
      </x:c>
      <x:c r="H29" s="2"/>
      <x:c r="I29" s="2"/>
      <x:c r="J29" s="2"/>
    </x:row>
    <x:row r="30">
      <x:c r="C30" s="46" t="str">
        <x:v>v1.0</x:v>
      </x:c>
      <x:c r="D30" s="48" t="n">
        <x:v>45717</x:v>
      </x:c>
      <x:c r="E30" s="46" t="str">
        <x:v>6200</x:v>
      </x:c>
      <x:c r="F30" s="46" t="str">
        <x:v>Property Overhead</x:v>
      </x:c>
      <x:c r="G30" s="50" t="n">
        <x:v>27100</x:v>
      </x:c>
      <x:c r="H30" s="2"/>
      <x:c r="I30" s="2"/>
      <x:c r="J30" s="2"/>
    </x:row>
    <x:row r="31">
      <x:c r="C31" s="46" t="str">
        <x:v>v1.0</x:v>
      </x:c>
      <x:c r="D31" s="48" t="n">
        <x:v>45717</x:v>
      </x:c>
      <x:c r="E31" s="46" t="str">
        <x:v>6300</x:v>
      </x:c>
      <x:c r="F31" s="46" t="str">
        <x:v>Marketing</x:v>
      </x:c>
      <x:c r="G31" s="50" t="n">
        <x:v>10500</x:v>
      </x:c>
      <x:c r="H31" s="2"/>
      <x:c r="I31" s="2"/>
      <x:c r="J31" s="2"/>
    </x:row>
    <x:row r="32">
      <x:c r="C32" s="46" t="str">
        <x:v>v1.0</x:v>
      </x:c>
      <x:c r="D32" s="48" t="n">
        <x:v>45748</x:v>
      </x:c>
      <x:c r="E32" s="46" t="str">
        <x:v>4000</x:v>
      </x:c>
      <x:c r="F32" s="46" t="str">
        <x:v>Room Revenue</x:v>
      </x:c>
      <x:c r="G32" s="50" t="n">
        <x:v>306507</x:v>
      </x:c>
      <x:c r="H32" s="2"/>
      <x:c r="I32" s="2"/>
      <x:c r="J32" s="2"/>
    </x:row>
    <x:row r="33">
      <x:c r="C33" s="46" t="str">
        <x:v>v1.0</x:v>
      </x:c>
      <x:c r="D33" s="48" t="n">
        <x:v>45748</x:v>
      </x:c>
      <x:c r="E33" s="46" t="str">
        <x:v>5000</x:v>
      </x:c>
      <x:c r="F33" s="46" t="str">
        <x:v>Housekeeping Payroll</x:v>
      </x:c>
      <x:c r="G33" s="50" t="n">
        <x:v>23436.6</x:v>
      </x:c>
      <x:c r="H33" s="2"/>
      <x:c r="I33" s="2"/>
      <x:c r="J33" s="2"/>
    </x:row>
    <x:row r="34">
      <x:c r="C34" s="46" t="str">
        <x:v>v1.0</x:v>
      </x:c>
      <x:c r="D34" s="48" t="n">
        <x:v>45748</x:v>
      </x:c>
      <x:c r="E34" s="46" t="str">
        <x:v>5100</x:v>
      </x:c>
      <x:c r="F34" s="46" t="str">
        <x:v>Guest Services</x:v>
      </x:c>
      <x:c r="G34" s="50" t="n">
        <x:v>37386</x:v>
      </x:c>
      <x:c r="H34" s="2"/>
      <x:c r="I34" s="2"/>
      <x:c r="J34" s="2"/>
    </x:row>
    <x:row r="35">
      <x:c r="C35" s="46" t="str">
        <x:v>v1.0</x:v>
      </x:c>
      <x:c r="D35" s="48" t="n">
        <x:v>45748</x:v>
      </x:c>
      <x:c r="E35" s="46" t="str">
        <x:v>5200</x:v>
      </x:c>
      <x:c r="F35" s="46" t="str">
        <x:v>Distribution and Payment</x:v>
      </x:c>
      <x:c r="G35" s="50" t="n">
        <x:v>12260.28</x:v>
      </x:c>
      <x:c r="H35" s="2"/>
      <x:c r="I35" s="2"/>
      <x:c r="J35" s="2"/>
    </x:row>
    <x:row r="36">
      <x:c r="C36" s="46" t="str">
        <x:v>v1.0</x:v>
      </x:c>
      <x:c r="D36" s="48" t="n">
        <x:v>45748</x:v>
      </x:c>
      <x:c r="E36" s="46" t="str">
        <x:v>6000</x:v>
      </x:c>
      <x:c r="F36" s="46" t="str">
        <x:v>Fixed Staff Payroll</x:v>
      </x:c>
      <x:c r="G36" s="50" t="n">
        <x:v>29000</x:v>
      </x:c>
      <x:c r="H36" s="2"/>
      <x:c r="I36" s="2"/>
      <x:c r="J36" s="2"/>
    </x:row>
    <x:row r="37">
      <x:c r="C37" s="46" t="str">
        <x:v>v1.0</x:v>
      </x:c>
      <x:c r="D37" s="48" t="n">
        <x:v>45748</x:v>
      </x:c>
      <x:c r="E37" s="46" t="str">
        <x:v>6100</x:v>
      </x:c>
      <x:c r="F37" s="46" t="str">
        <x:v>Rent</x:v>
      </x:c>
      <x:c r="G37" s="50" t="n">
        <x:v>76000</x:v>
      </x:c>
      <x:c r="H37" s="2"/>
      <x:c r="I37" s="2"/>
      <x:c r="J37" s="2"/>
    </x:row>
    <x:row r="38">
      <x:c r="C38" s="46" t="str">
        <x:v>v1.0</x:v>
      </x:c>
      <x:c r="D38" s="48" t="n">
        <x:v>45748</x:v>
      </x:c>
      <x:c r="E38" s="46" t="str">
        <x:v>6200</x:v>
      </x:c>
      <x:c r="F38" s="46" t="str">
        <x:v>Property Overhead</x:v>
      </x:c>
      <x:c r="G38" s="50" t="n">
        <x:v>27250</x:v>
      </x:c>
      <x:c r="H38" s="2"/>
      <x:c r="I38" s="2"/>
      <x:c r="J38" s="2"/>
    </x:row>
    <x:row r="39">
      <x:c r="C39" s="46" t="str">
        <x:v>v1.0</x:v>
      </x:c>
      <x:c r="D39" s="48" t="n">
        <x:v>45748</x:v>
      </x:c>
      <x:c r="E39" s="46" t="str">
        <x:v>6300</x:v>
      </x:c>
      <x:c r="F39" s="46" t="str">
        <x:v>Marketing</x:v>
      </x:c>
      <x:c r="G39" s="50" t="n">
        <x:v>12000</x:v>
      </x:c>
      <x:c r="H39" s="2"/>
      <x:c r="I39" s="2"/>
      <x:c r="J39" s="2"/>
    </x:row>
    <x:row r="40">
      <x:c r="C40" s="46" t="str">
        <x:v>v1.0</x:v>
      </x:c>
      <x:c r="D40" s="48" t="n">
        <x:v>45778</x:v>
      </x:c>
      <x:c r="E40" s="46" t="str">
        <x:v>4000</x:v>
      </x:c>
      <x:c r="F40" s="46" t="str">
        <x:v>Room Revenue</x:v>
      </x:c>
      <x:c r="G40" s="50" t="n">
        <x:v>359046</x:v>
      </x:c>
      <x:c r="H40" s="2"/>
      <x:c r="I40" s="2"/>
      <x:c r="J40" s="2"/>
    </x:row>
    <x:row r="41">
      <x:c r="C41" s="46" t="str">
        <x:v>v1.0</x:v>
      </x:c>
      <x:c r="D41" s="48" t="n">
        <x:v>45778</x:v>
      </x:c>
      <x:c r="E41" s="46" t="str">
        <x:v>5000</x:v>
      </x:c>
      <x:c r="F41" s="46" t="str">
        <x:v>Housekeeping Payroll</x:v>
      </x:c>
      <x:c r="G41" s="50" t="n">
        <x:v>25137.9</x:v>
      </x:c>
      <x:c r="H41" s="2"/>
      <x:c r="I41" s="2"/>
      <x:c r="J41" s="2"/>
    </x:row>
    <x:row r="42">
      <x:c r="C42" s="46" t="str">
        <x:v>v1.0</x:v>
      </x:c>
      <x:c r="D42" s="48" t="n">
        <x:v>45778</x:v>
      </x:c>
      <x:c r="E42" s="46" t="str">
        <x:v>5100</x:v>
      </x:c>
      <x:c r="F42" s="46" t="str">
        <x:v>Guest Services</x:v>
      </x:c>
      <x:c r="G42" s="50" t="n">
        <x:v>42184.8</x:v>
      </x:c>
      <x:c r="H42" s="2"/>
      <x:c r="I42" s="2"/>
      <x:c r="J42" s="2"/>
    </x:row>
    <x:row r="43">
      <x:c r="C43" s="46" t="str">
        <x:v>v1.0</x:v>
      </x:c>
      <x:c r="D43" s="48" t="n">
        <x:v>45778</x:v>
      </x:c>
      <x:c r="E43" s="46" t="str">
        <x:v>5200</x:v>
      </x:c>
      <x:c r="F43" s="46" t="str">
        <x:v>Distribution and Payment</x:v>
      </x:c>
      <x:c r="G43" s="50" t="n">
        <x:v>14361.84</x:v>
      </x:c>
      <x:c r="H43" s="2"/>
      <x:c r="I43" s="2"/>
      <x:c r="J43" s="2"/>
    </x:row>
    <x:row r="44">
      <x:c r="C44" s="46" t="str">
        <x:v>v1.0</x:v>
      </x:c>
      <x:c r="D44" s="48" t="n">
        <x:v>45778</x:v>
      </x:c>
      <x:c r="E44" s="46" t="str">
        <x:v>6000</x:v>
      </x:c>
      <x:c r="F44" s="46" t="str">
        <x:v>Fixed Staff Payroll</x:v>
      </x:c>
      <x:c r="G44" s="50" t="n">
        <x:v>29100</x:v>
      </x:c>
      <x:c r="H44" s="2"/>
      <x:c r="I44" s="2"/>
      <x:c r="J44" s="2"/>
    </x:row>
    <x:row r="45">
      <x:c r="C45" s="46" t="str">
        <x:v>v1.0</x:v>
      </x:c>
      <x:c r="D45" s="48" t="n">
        <x:v>45778</x:v>
      </x:c>
      <x:c r="E45" s="46" t="str">
        <x:v>6100</x:v>
      </x:c>
      <x:c r="F45" s="46" t="str">
        <x:v>Rent</x:v>
      </x:c>
      <x:c r="G45" s="50" t="n">
        <x:v>76000</x:v>
      </x:c>
      <x:c r="H45" s="2"/>
      <x:c r="I45" s="2"/>
      <x:c r="J45" s="2"/>
    </x:row>
    <x:row r="46">
      <x:c r="C46" s="46" t="str">
        <x:v>v1.0</x:v>
      </x:c>
      <x:c r="D46" s="48" t="n">
        <x:v>45778</x:v>
      </x:c>
      <x:c r="E46" s="46" t="str">
        <x:v>6200</x:v>
      </x:c>
      <x:c r="F46" s="46" t="str">
        <x:v>Property Overhead</x:v>
      </x:c>
      <x:c r="G46" s="50" t="n">
        <x:v>27600</x:v>
      </x:c>
      <x:c r="H46" s="2"/>
      <x:c r="I46" s="2"/>
      <x:c r="J46" s="2"/>
    </x:row>
    <x:row r="47">
      <x:c r="C47" s="46" t="str">
        <x:v>v1.0</x:v>
      </x:c>
      <x:c r="D47" s="48" t="n">
        <x:v>45778</x:v>
      </x:c>
      <x:c r="E47" s="46" t="str">
        <x:v>6300</x:v>
      </x:c>
      <x:c r="F47" s="46" t="str">
        <x:v>Marketing</x:v>
      </x:c>
      <x:c r="G47" s="50" t="n">
        <x:v>13500</x:v>
      </x:c>
      <x:c r="H47" s="2"/>
      <x:c r="I47" s="2"/>
      <x:c r="J47" s="2"/>
    </x:row>
    <x:row r="48">
      <x:c r="C48" s="46" t="str">
        <x:v>v1.0</x:v>
      </x:c>
      <x:c r="D48" s="48" t="n">
        <x:v>45809</x:v>
      </x:c>
      <x:c r="E48" s="46" t="str">
        <x:v>4000</x:v>
      </x:c>
      <x:c r="F48" s="46" t="str">
        <x:v>Room Revenue</x:v>
      </x:c>
      <x:c r="G48" s="50" t="n">
        <x:v>376115</x:v>
      </x:c>
      <x:c r="H48" s="2"/>
      <x:c r="I48" s="2"/>
      <x:c r="J48" s="2"/>
    </x:row>
    <x:row r="49">
      <x:c r="C49" s="46" t="str">
        <x:v>v1.0</x:v>
      </x:c>
      <x:c r="D49" s="48" t="n">
        <x:v>45809</x:v>
      </x:c>
      <x:c r="E49" s="46" t="str">
        <x:v>5000</x:v>
      </x:c>
      <x:c r="F49" s="46" t="str">
        <x:v>Housekeeping Payroll</x:v>
      </x:c>
      <x:c r="G49" s="50" t="n">
        <x:v>25738.92</x:v>
      </x:c>
      <x:c r="H49" s="2"/>
      <x:c r="I49" s="2"/>
      <x:c r="J49" s="2"/>
    </x:row>
    <x:row r="50">
      <x:c r="C50" s="46" t="str">
        <x:v>v1.0</x:v>
      </x:c>
      <x:c r="D50" s="48" t="n">
        <x:v>45809</x:v>
      </x:c>
      <x:c r="E50" s="46" t="str">
        <x:v>5100</x:v>
      </x:c>
      <x:c r="F50" s="46" t="str">
        <x:v>Guest Services</x:v>
      </x:c>
      <x:c r="G50" s="50" t="n">
        <x:v>43548</x:v>
      </x:c>
      <x:c r="H50" s="2"/>
      <x:c r="I50" s="2"/>
      <x:c r="J50" s="2"/>
    </x:row>
    <x:row r="51">
      <x:c r="C51" s="46" t="str">
        <x:v>v1.0</x:v>
      </x:c>
      <x:c r="D51" s="48" t="n">
        <x:v>45809</x:v>
      </x:c>
      <x:c r="E51" s="46" t="str">
        <x:v>5200</x:v>
      </x:c>
      <x:c r="F51" s="46" t="str">
        <x:v>Distribution and Payment</x:v>
      </x:c>
      <x:c r="G51" s="50" t="n">
        <x:v>15044.6</x:v>
      </x:c>
      <x:c r="H51" s="2"/>
      <x:c r="I51" s="2"/>
      <x:c r="J51" s="2"/>
    </x:row>
    <x:row r="52">
      <x:c r="C52" s="46" t="str">
        <x:v>v1.0</x:v>
      </x:c>
      <x:c r="D52" s="48" t="n">
        <x:v>45809</x:v>
      </x:c>
      <x:c r="E52" s="46" t="str">
        <x:v>6000</x:v>
      </x:c>
      <x:c r="F52" s="46" t="str">
        <x:v>Fixed Staff Payroll</x:v>
      </x:c>
      <x:c r="G52" s="50" t="n">
        <x:v>29200</x:v>
      </x:c>
      <x:c r="H52" s="2"/>
      <x:c r="I52" s="2"/>
      <x:c r="J52" s="2"/>
    </x:row>
    <x:row r="53">
      <x:c r="C53" s="46" t="str">
        <x:v>v1.0</x:v>
      </x:c>
      <x:c r="D53" s="48" t="n">
        <x:v>45809</x:v>
      </x:c>
      <x:c r="E53" s="46" t="str">
        <x:v>6100</x:v>
      </x:c>
      <x:c r="F53" s="46" t="str">
        <x:v>Rent</x:v>
      </x:c>
      <x:c r="G53" s="50" t="n">
        <x:v>76000</x:v>
      </x:c>
      <x:c r="H53" s="2"/>
      <x:c r="I53" s="2"/>
      <x:c r="J53" s="2"/>
    </x:row>
    <x:row r="54">
      <x:c r="C54" s="46" t="str">
        <x:v>v1.0</x:v>
      </x:c>
      <x:c r="D54" s="48" t="n">
        <x:v>45809</x:v>
      </x:c>
      <x:c r="E54" s="46" t="str">
        <x:v>6200</x:v>
      </x:c>
      <x:c r="F54" s="46" t="str">
        <x:v>Property Overhead</x:v>
      </x:c>
      <x:c r="G54" s="50" t="n">
        <x:v>27900</x:v>
      </x:c>
      <x:c r="H54" s="2"/>
      <x:c r="I54" s="2"/>
      <x:c r="J54" s="2"/>
    </x:row>
    <x:row r="55">
      <x:c r="C55" s="46" t="str">
        <x:v>v1.0</x:v>
      </x:c>
      <x:c r="D55" s="48" t="n">
        <x:v>45809</x:v>
      </x:c>
      <x:c r="E55" s="46" t="str">
        <x:v>6300</x:v>
      </x:c>
      <x:c r="F55" s="46" t="str">
        <x:v>Marketing</x:v>
      </x:c>
      <x:c r="G55" s="50" t="n">
        <x:v>17000</x:v>
      </x:c>
      <x:c r="H55" s="2"/>
      <x:c r="I55" s="2"/>
      <x:c r="J55" s="2"/>
    </x:row>
    <x:row r="56">
      <x:c r="C56" s="46" t="str">
        <x:v>v1.0</x:v>
      </x:c>
      <x:c r="D56" s="48" t="n">
        <x:v>45839</x:v>
      </x:c>
      <x:c r="E56" s="46" t="str">
        <x:v>4000</x:v>
      </x:c>
      <x:c r="F56" s="46" t="str">
        <x:v>Room Revenue</x:v>
      </x:c>
      <x:c r="G56" s="50" t="n">
        <x:v>444521</x:v>
      </x:c>
      <x:c r="H56" s="2"/>
      <x:c r="I56" s="2"/>
      <x:c r="J56" s="2"/>
    </x:row>
    <x:row r="57">
      <x:c r="C57" s="46" t="str">
        <x:v>v1.0</x:v>
      </x:c>
      <x:c r="D57" s="48" t="n">
        <x:v>45839</x:v>
      </x:c>
      <x:c r="E57" s="46" t="str">
        <x:v>5000</x:v>
      </x:c>
      <x:c r="F57" s="46" t="str">
        <x:v>Housekeeping Payroll</x:v>
      </x:c>
      <x:c r="G57" s="50" t="n">
        <x:v>27595.43</x:v>
      </x:c>
      <x:c r="H57" s="2"/>
      <x:c r="I57" s="2"/>
      <x:c r="J57" s="2"/>
    </x:row>
    <x:row r="58">
      <x:c r="C58" s="46" t="str">
        <x:v>v1.0</x:v>
      </x:c>
      <x:c r="D58" s="48" t="n">
        <x:v>45839</x:v>
      </x:c>
      <x:c r="E58" s="46" t="str">
        <x:v>5100</x:v>
      </x:c>
      <x:c r="F58" s="46" t="str">
        <x:v>Guest Services</x:v>
      </x:c>
      <x:c r="G58" s="50" t="n">
        <x:v>49916.2</x:v>
      </x:c>
      <x:c r="H58" s="2"/>
      <x:c r="I58" s="2"/>
      <x:c r="J58" s="2"/>
    </x:row>
    <x:row r="59">
      <x:c r="C59" s="46" t="str">
        <x:v>v1.0</x:v>
      </x:c>
      <x:c r="D59" s="48" t="n">
        <x:v>45839</x:v>
      </x:c>
      <x:c r="E59" s="46" t="str">
        <x:v>5200</x:v>
      </x:c>
      <x:c r="F59" s="46" t="str">
        <x:v>Distribution and Payment</x:v>
      </x:c>
      <x:c r="G59" s="50" t="n">
        <x:v>17780.84</x:v>
      </x:c>
      <x:c r="H59" s="2"/>
      <x:c r="I59" s="2"/>
      <x:c r="J59" s="2"/>
    </x:row>
    <x:row r="60">
      <x:c r="C60" s="46" t="str">
        <x:v>v1.0</x:v>
      </x:c>
      <x:c r="D60" s="48" t="n">
        <x:v>45839</x:v>
      </x:c>
      <x:c r="E60" s="46" t="str">
        <x:v>6000</x:v>
      </x:c>
      <x:c r="F60" s="46" t="str">
        <x:v>Fixed Staff Payroll</x:v>
      </x:c>
      <x:c r="G60" s="50" t="n">
        <x:v>29886</x:v>
      </x:c>
      <x:c r="H60" s="2"/>
      <x:c r="I60" s="2"/>
      <x:c r="J60" s="2"/>
    </x:row>
    <x:row r="61">
      <x:c r="C61" s="46" t="str">
        <x:v>v1.0</x:v>
      </x:c>
      <x:c r="D61" s="48" t="n">
        <x:v>45839</x:v>
      </x:c>
      <x:c r="E61" s="46" t="str">
        <x:v>6100</x:v>
      </x:c>
      <x:c r="F61" s="46" t="str">
        <x:v>Rent</x:v>
      </x:c>
      <x:c r="G61" s="50" t="n">
        <x:v>76000</x:v>
      </x:c>
      <x:c r="H61" s="2"/>
      <x:c r="I61" s="2"/>
      <x:c r="J61" s="2"/>
    </x:row>
    <x:row r="62">
      <x:c r="C62" s="46" t="str">
        <x:v>v1.0</x:v>
      </x:c>
      <x:c r="D62" s="48" t="n">
        <x:v>45839</x:v>
      </x:c>
      <x:c r="E62" s="46" t="str">
        <x:v>6200</x:v>
      </x:c>
      <x:c r="F62" s="46" t="str">
        <x:v>Property Overhead</x:v>
      </x:c>
      <x:c r="G62" s="50" t="n">
        <x:v>28400</x:v>
      </x:c>
      <x:c r="H62" s="2"/>
      <x:c r="I62" s="2"/>
      <x:c r="J62" s="2"/>
    </x:row>
    <x:row r="63">
      <x:c r="C63" s="46" t="str">
        <x:v>v1.0</x:v>
      </x:c>
      <x:c r="D63" s="48" t="n">
        <x:v>45839</x:v>
      </x:c>
      <x:c r="E63" s="46" t="str">
        <x:v>6300</x:v>
      </x:c>
      <x:c r="F63" s="46" t="str">
        <x:v>Marketing</x:v>
      </x:c>
      <x:c r="G63" s="50" t="n">
        <x:v>19000</x:v>
      </x:c>
      <x:c r="H63" s="2"/>
      <x:c r="I63" s="2"/>
      <x:c r="J63" s="2"/>
    </x:row>
    <x:row r="64">
      <x:c r="C64" s="46" t="str">
        <x:v>v1.0</x:v>
      </x:c>
      <x:c r="D64" s="48" t="n">
        <x:v>45870</x:v>
      </x:c>
      <x:c r="E64" s="46" t="str">
        <x:v>4000</x:v>
      </x:c>
      <x:c r="F64" s="46" t="str">
        <x:v>Room Revenue</x:v>
      </x:c>
      <x:c r="G64" s="50" t="n">
        <x:v>421848</x:v>
      </x:c>
      <x:c r="H64" s="2"/>
      <x:c r="I64" s="2"/>
      <x:c r="J64" s="2"/>
    </x:row>
    <x:row r="65">
      <x:c r="C65" s="46" t="str">
        <x:v>v1.0</x:v>
      </x:c>
      <x:c r="D65" s="48" t="n">
        <x:v>45870</x:v>
      </x:c>
      <x:c r="E65" s="46" t="str">
        <x:v>5000</x:v>
      </x:c>
      <x:c r="F65" s="46" t="str">
        <x:v>Housekeeping Payroll</x:v>
      </x:c>
      <x:c r="G65" s="50" t="n">
        <x:v>27193.2</x:v>
      </x:c>
      <x:c r="H65" s="2"/>
      <x:c r="I65" s="2"/>
      <x:c r="J65" s="2"/>
    </x:row>
    <x:row r="66">
      <x:c r="C66" s="46" t="str">
        <x:v>v1.0</x:v>
      </x:c>
      <x:c r="D66" s="48" t="n">
        <x:v>45870</x:v>
      </x:c>
      <x:c r="E66" s="46" t="str">
        <x:v>5100</x:v>
      </x:c>
      <x:c r="F66" s="46" t="str">
        <x:v>Guest Services</x:v>
      </x:c>
      <x:c r="G66" s="50" t="n">
        <x:v>47864</x:v>
      </x:c>
      <x:c r="H66" s="2"/>
      <x:c r="I66" s="2"/>
      <x:c r="J66" s="2"/>
    </x:row>
    <x:row r="67">
      <x:c r="C67" s="46" t="str">
        <x:v>v1.0</x:v>
      </x:c>
      <x:c r="D67" s="48" t="n">
        <x:v>45870</x:v>
      </x:c>
      <x:c r="E67" s="46" t="str">
        <x:v>5200</x:v>
      </x:c>
      <x:c r="F67" s="46" t="str">
        <x:v>Distribution and Payment</x:v>
      </x:c>
      <x:c r="G67" s="50" t="n">
        <x:v>16873.92</x:v>
      </x:c>
      <x:c r="H67" s="2"/>
      <x:c r="I67" s="2"/>
      <x:c r="J67" s="2"/>
    </x:row>
    <x:row r="68">
      <x:c r="C68" s="46" t="str">
        <x:v>v1.0</x:v>
      </x:c>
      <x:c r="D68" s="48" t="n">
        <x:v>45870</x:v>
      </x:c>
      <x:c r="E68" s="46" t="str">
        <x:v>6000</x:v>
      </x:c>
      <x:c r="F68" s="46" t="str">
        <x:v>Fixed Staff Payroll</x:v>
      </x:c>
      <x:c r="G68" s="50" t="n">
        <x:v>29988</x:v>
      </x:c>
      <x:c r="H68" s="2"/>
      <x:c r="I68" s="2"/>
      <x:c r="J68" s="2"/>
    </x:row>
    <x:row r="69">
      <x:c r="C69" s="46" t="str">
        <x:v>v1.0</x:v>
      </x:c>
      <x:c r="D69" s="48" t="n">
        <x:v>45870</x:v>
      </x:c>
      <x:c r="E69" s="46" t="str">
        <x:v>6100</x:v>
      </x:c>
      <x:c r="F69" s="46" t="str">
        <x:v>Rent</x:v>
      </x:c>
      <x:c r="G69" s="50" t="n">
        <x:v>76000</x:v>
      </x:c>
      <x:c r="H69" s="2"/>
      <x:c r="I69" s="2"/>
      <x:c r="J69" s="2"/>
    </x:row>
    <x:row r="70">
      <x:c r="C70" s="46" t="str">
        <x:v>v1.0</x:v>
      </x:c>
      <x:c r="D70" s="48" t="n">
        <x:v>45870</x:v>
      </x:c>
      <x:c r="E70" s="46" t="str">
        <x:v>6200</x:v>
      </x:c>
      <x:c r="F70" s="46" t="str">
        <x:v>Property Overhead</x:v>
      </x:c>
      <x:c r="G70" s="50" t="n">
        <x:v>28300</x:v>
      </x:c>
      <x:c r="H70" s="2"/>
      <x:c r="I70" s="2"/>
      <x:c r="J70" s="2"/>
    </x:row>
    <x:row r="71">
      <x:c r="C71" s="46" t="str">
        <x:v>v1.0</x:v>
      </x:c>
      <x:c r="D71" s="48" t="n">
        <x:v>45870</x:v>
      </x:c>
      <x:c r="E71" s="46" t="str">
        <x:v>6300</x:v>
      </x:c>
      <x:c r="F71" s="46" t="str">
        <x:v>Marketing</x:v>
      </x:c>
      <x:c r="G71" s="50" t="n">
        <x:v>16000</x:v>
      </x:c>
      <x:c r="H71" s="2"/>
      <x:c r="I71" s="2"/>
      <x:c r="J71" s="2"/>
    </x:row>
    <x:row r="72">
      <x:c r="C72" s="46" t="str">
        <x:v>v1.0</x:v>
      </x:c>
      <x:c r="D72" s="48" t="n">
        <x:v>45901</x:v>
      </x:c>
      <x:c r="E72" s="46" t="str">
        <x:v>4000</x:v>
      </x:c>
      <x:c r="F72" s="46" t="str">
        <x:v>Room Revenue</x:v>
      </x:c>
      <x:c r="G72" s="50" t="n">
        <x:v>340746</x:v>
      </x:c>
      <x:c r="H72" s="2"/>
      <x:c r="I72" s="2"/>
      <x:c r="J72" s="2"/>
    </x:row>
    <x:row r="73">
      <x:c r="C73" s="46" t="str">
        <x:v>v1.0</x:v>
      </x:c>
      <x:c r="D73" s="48" t="n">
        <x:v>45901</x:v>
      </x:c>
      <x:c r="E73" s="46" t="str">
        <x:v>5000</x:v>
      </x:c>
      <x:c r="F73" s="46" t="str">
        <x:v>Housekeeping Payroll</x:v>
      </x:c>
      <x:c r="G73" s="50" t="n">
        <x:v>24437.7</x:v>
      </x:c>
      <x:c r="H73" s="2"/>
      <x:c r="I73" s="2"/>
      <x:c r="J73" s="2"/>
    </x:row>
    <x:row r="74">
      <x:c r="C74" s="46" t="str">
        <x:v>v1.0</x:v>
      </x:c>
      <x:c r="D74" s="48" t="n">
        <x:v>45901</x:v>
      </x:c>
      <x:c r="E74" s="46" t="str">
        <x:v>5100</x:v>
      </x:c>
      <x:c r="F74" s="46" t="str">
        <x:v>Guest Services</x:v>
      </x:c>
      <x:c r="G74" s="50" t="n">
        <x:v>39900</x:v>
      </x:c>
      <x:c r="H74" s="2"/>
      <x:c r="I74" s="2"/>
      <x:c r="J74" s="2"/>
    </x:row>
    <x:row r="75">
      <x:c r="C75" s="46" t="str">
        <x:v>v1.0</x:v>
      </x:c>
      <x:c r="D75" s="48" t="n">
        <x:v>45901</x:v>
      </x:c>
      <x:c r="E75" s="46" t="str">
        <x:v>5200</x:v>
      </x:c>
      <x:c r="F75" s="46" t="str">
        <x:v>Distribution and Payment</x:v>
      </x:c>
      <x:c r="G75" s="50" t="n">
        <x:v>13629.84</x:v>
      </x:c>
      <x:c r="H75" s="2"/>
      <x:c r="I75" s="2"/>
      <x:c r="J75" s="2"/>
    </x:row>
    <x:row r="76">
      <x:c r="C76" s="46" t="str">
        <x:v>v1.0</x:v>
      </x:c>
      <x:c r="D76" s="48" t="n">
        <x:v>45901</x:v>
      </x:c>
      <x:c r="E76" s="46" t="str">
        <x:v>6000</x:v>
      </x:c>
      <x:c r="F76" s="46" t="str">
        <x:v>Fixed Staff Payroll</x:v>
      </x:c>
      <x:c r="G76" s="50" t="n">
        <x:v>29500</x:v>
      </x:c>
      <x:c r="H76" s="2"/>
      <x:c r="I76" s="2"/>
      <x:c r="J76" s="2"/>
    </x:row>
    <x:row r="77">
      <x:c r="C77" s="46" t="str">
        <x:v>v1.0</x:v>
      </x:c>
      <x:c r="D77" s="48" t="n">
        <x:v>45901</x:v>
      </x:c>
      <x:c r="E77" s="46" t="str">
        <x:v>6100</x:v>
      </x:c>
      <x:c r="F77" s="46" t="str">
        <x:v>Rent</x:v>
      </x:c>
      <x:c r="G77" s="50" t="n">
        <x:v>76000</x:v>
      </x:c>
      <x:c r="H77" s="2"/>
      <x:c r="I77" s="2"/>
      <x:c r="J77" s="2"/>
    </x:row>
    <x:row r="78">
      <x:c r="C78" s="46" t="str">
        <x:v>v1.0</x:v>
      </x:c>
      <x:c r="D78" s="48" t="n">
        <x:v>45901</x:v>
      </x:c>
      <x:c r="E78" s="46" t="str">
        <x:v>6200</x:v>
      </x:c>
      <x:c r="F78" s="46" t="str">
        <x:v>Property Overhead</x:v>
      </x:c>
      <x:c r="G78" s="50" t="n">
        <x:v>27800</x:v>
      </x:c>
      <x:c r="H78" s="2"/>
      <x:c r="I78" s="2"/>
      <x:c r="J78" s="2"/>
    </x:row>
    <x:row r="79">
      <x:c r="C79" s="46" t="str">
        <x:v>v1.0</x:v>
      </x:c>
      <x:c r="D79" s="48" t="n">
        <x:v>45901</x:v>
      </x:c>
      <x:c r="E79" s="46" t="str">
        <x:v>6300</x:v>
      </x:c>
      <x:c r="F79" s="46" t="str">
        <x:v>Marketing</x:v>
      </x:c>
      <x:c r="G79" s="50" t="n">
        <x:v>11000</x:v>
      </x:c>
      <x:c r="H79" s="2"/>
      <x:c r="I79" s="2"/>
      <x:c r="J79" s="2"/>
    </x:row>
    <x:row r="80">
      <x:c r="C80" s="46" t="str">
        <x:v>v1.0</x:v>
      </x:c>
      <x:c r="D80" s="48" t="n">
        <x:v>45931</x:v>
      </x:c>
      <x:c r="E80" s="46" t="str">
        <x:v>4000</x:v>
      </x:c>
      <x:c r="F80" s="46" t="str">
        <x:v>Room Revenue</x:v>
      </x:c>
      <x:c r="G80" s="50" t="n">
        <x:v>334731.5</x:v>
      </x:c>
      <x:c r="H80" s="2"/>
      <x:c r="I80" s="2"/>
      <x:c r="J80" s="2"/>
    </x:row>
    <x:row r="81">
      <x:c r="C81" s="46" t="str">
        <x:v>v1.0</x:v>
      </x:c>
      <x:c r="D81" s="48" t="n">
        <x:v>45931</x:v>
      </x:c>
      <x:c r="E81" s="46" t="str">
        <x:v>5000</x:v>
      </x:c>
      <x:c r="F81" s="46" t="str">
        <x:v>Housekeeping Payroll</x:v>
      </x:c>
      <x:c r="G81" s="50" t="n">
        <x:v>24701.54</x:v>
      </x:c>
      <x:c r="H81" s="2"/>
      <x:c r="I81" s="2"/>
      <x:c r="J81" s="2"/>
    </x:row>
    <x:row r="82">
      <x:c r="C82" s="46" t="str">
        <x:v>v1.0</x:v>
      </x:c>
      <x:c r="D82" s="48" t="n">
        <x:v>45931</x:v>
      </x:c>
      <x:c r="E82" s="46" t="str">
        <x:v>5100</x:v>
      </x:c>
      <x:c r="F82" s="46" t="str">
        <x:v>Guest Services</x:v>
      </x:c>
      <x:c r="G82" s="50" t="n">
        <x:v>39630.4</x:v>
      </x:c>
      <x:c r="H82" s="2"/>
      <x:c r="I82" s="2"/>
      <x:c r="J82" s="2"/>
    </x:row>
    <x:row r="83">
      <x:c r="C83" s="46" t="str">
        <x:v>v1.0</x:v>
      </x:c>
      <x:c r="D83" s="48" t="n">
        <x:v>45931</x:v>
      </x:c>
      <x:c r="E83" s="46" t="str">
        <x:v>5200</x:v>
      </x:c>
      <x:c r="F83" s="46" t="str">
        <x:v>Distribution and Payment</x:v>
      </x:c>
      <x:c r="G83" s="50" t="n">
        <x:v>13389.26</x:v>
      </x:c>
      <x:c r="H83" s="2"/>
      <x:c r="I83" s="2"/>
      <x:c r="J83" s="2"/>
    </x:row>
    <x:row r="84">
      <x:c r="C84" s="46" t="str">
        <x:v>v1.0</x:v>
      </x:c>
      <x:c r="D84" s="48" t="n">
        <x:v>45931</x:v>
      </x:c>
      <x:c r="E84" s="46" t="str">
        <x:v>6000</x:v>
      </x:c>
      <x:c r="F84" s="46" t="str">
        <x:v>Fixed Staff Payroll</x:v>
      </x:c>
      <x:c r="G84" s="50" t="n">
        <x:v>29600</x:v>
      </x:c>
      <x:c r="H84" s="2"/>
      <x:c r="I84" s="2"/>
      <x:c r="J84" s="2"/>
    </x:row>
    <x:row r="85">
      <x:c r="C85" s="46" t="str">
        <x:v>v1.0</x:v>
      </x:c>
      <x:c r="D85" s="48" t="n">
        <x:v>45931</x:v>
      </x:c>
      <x:c r="E85" s="46" t="str">
        <x:v>6100</x:v>
      </x:c>
      <x:c r="F85" s="46" t="str">
        <x:v>Rent</x:v>
      </x:c>
      <x:c r="G85" s="50" t="n">
        <x:v>76000</x:v>
      </x:c>
      <x:c r="H85" s="2"/>
      <x:c r="I85" s="2"/>
      <x:c r="J85" s="2"/>
    </x:row>
    <x:row r="86">
      <x:c r="C86" s="46" t="str">
        <x:v>v1.0</x:v>
      </x:c>
      <x:c r="D86" s="48" t="n">
        <x:v>45931</x:v>
      </x:c>
      <x:c r="E86" s="46" t="str">
        <x:v>6200</x:v>
      </x:c>
      <x:c r="F86" s="46" t="str">
        <x:v>Property Overhead</x:v>
      </x:c>
      <x:c r="G86" s="50" t="n">
        <x:v>27500</x:v>
      </x:c>
      <x:c r="H86" s="2"/>
      <x:c r="I86" s="2"/>
      <x:c r="J86" s="2"/>
    </x:row>
    <x:row r="87">
      <x:c r="C87" s="46" t="str">
        <x:v>v1.0</x:v>
      </x:c>
      <x:c r="D87" s="48" t="n">
        <x:v>45931</x:v>
      </x:c>
      <x:c r="E87" s="46" t="str">
        <x:v>6300</x:v>
      </x:c>
      <x:c r="F87" s="46" t="str">
        <x:v>Marketing</x:v>
      </x:c>
      <x:c r="G87" s="50" t="n">
        <x:v>12500</x:v>
      </x:c>
      <x:c r="H87" s="2"/>
      <x:c r="I87" s="2"/>
      <x:c r="J87" s="2"/>
    </x:row>
    <x:row r="88">
      <x:c r="C88" s="46" t="str">
        <x:v>v1.0</x:v>
      </x:c>
      <x:c r="D88" s="48" t="n">
        <x:v>45962</x:v>
      </x:c>
      <x:c r="E88" s="46" t="str">
        <x:v>4000</x:v>
      </x:c>
      <x:c r="F88" s="46" t="str">
        <x:v>Room Revenue</x:v>
      </x:c>
      <x:c r="G88" s="50" t="n">
        <x:v>259487.5</x:v>
      </x:c>
      <x:c r="H88" s="2"/>
      <x:c r="I88" s="2"/>
      <x:c r="J88" s="2"/>
    </x:row>
    <x:row r="89">
      <x:c r="C89" s="46" t="str">
        <x:v>v1.0</x:v>
      </x:c>
      <x:c r="D89" s="48" t="n">
        <x:v>45962</x:v>
      </x:c>
      <x:c r="E89" s="46" t="str">
        <x:v>5000</x:v>
      </x:c>
      <x:c r="F89" s="46" t="str">
        <x:v>Housekeeping Payroll</x:v>
      </x:c>
      <x:c r="G89" s="50" t="n">
        <x:v>20814.75</x:v>
      </x:c>
      <x:c r="H89" s="2"/>
      <x:c r="I89" s="2"/>
      <x:c r="J89" s="2"/>
    </x:row>
    <x:row r="90">
      <x:c r="C90" s="46" t="str">
        <x:v>v1.0</x:v>
      </x:c>
      <x:c r="D90" s="48" t="n">
        <x:v>45962</x:v>
      </x:c>
      <x:c r="E90" s="46" t="str">
        <x:v>5100</x:v>
      </x:c>
      <x:c r="F90" s="46" t="str">
        <x:v>Guest Services</x:v>
      </x:c>
      <x:c r="G90" s="50" t="n">
        <x:v>32190</x:v>
      </x:c>
      <x:c r="H90" s="2"/>
      <x:c r="I90" s="2"/>
      <x:c r="J90" s="2"/>
    </x:row>
    <x:row r="91">
      <x:c r="C91" s="46" t="str">
        <x:v>v1.0</x:v>
      </x:c>
      <x:c r="D91" s="48" t="n">
        <x:v>45962</x:v>
      </x:c>
      <x:c r="E91" s="46" t="str">
        <x:v>5200</x:v>
      </x:c>
      <x:c r="F91" s="46" t="str">
        <x:v>Distribution and Payment</x:v>
      </x:c>
      <x:c r="G91" s="50" t="n">
        <x:v>10379.5</x:v>
      </x:c>
      <x:c r="H91" s="2"/>
      <x:c r="I91" s="2"/>
      <x:c r="J91" s="2"/>
    </x:row>
    <x:row r="92">
      <x:c r="C92" s="46" t="str">
        <x:v>v1.0</x:v>
      </x:c>
      <x:c r="D92" s="48" t="n">
        <x:v>45962</x:v>
      </x:c>
      <x:c r="E92" s="46" t="str">
        <x:v>6000</x:v>
      </x:c>
      <x:c r="F92" s="46" t="str">
        <x:v>Fixed Staff Payroll</x:v>
      </x:c>
      <x:c r="G92" s="50" t="n">
        <x:v>29700</x:v>
      </x:c>
      <x:c r="H92" s="2"/>
      <x:c r="I92" s="2"/>
      <x:c r="J92" s="2"/>
    </x:row>
    <x:row r="93">
      <x:c r="C93" s="46" t="str">
        <x:v>v1.0</x:v>
      </x:c>
      <x:c r="D93" s="48" t="n">
        <x:v>45962</x:v>
      </x:c>
      <x:c r="E93" s="46" t="str">
        <x:v>6100</x:v>
      </x:c>
      <x:c r="F93" s="46" t="str">
        <x:v>Rent</x:v>
      </x:c>
      <x:c r="G93" s="50" t="n">
        <x:v>76000</x:v>
      </x:c>
      <x:c r="H93" s="2"/>
      <x:c r="I93" s="2"/>
      <x:c r="J93" s="2"/>
    </x:row>
    <x:row r="94">
      <x:c r="C94" s="46" t="str">
        <x:v>v1.0</x:v>
      </x:c>
      <x:c r="D94" s="48" t="n">
        <x:v>45962</x:v>
      </x:c>
      <x:c r="E94" s="46" t="str">
        <x:v>6200</x:v>
      </x:c>
      <x:c r="F94" s="46" t="str">
        <x:v>Property Overhead</x:v>
      </x:c>
      <x:c r="G94" s="50" t="n">
        <x:v>27100</x:v>
      </x:c>
      <x:c r="H94" s="2"/>
      <x:c r="I94" s="2"/>
      <x:c r="J94" s="2"/>
    </x:row>
    <x:row r="95">
      <x:c r="C95" s="46" t="str">
        <x:v>v1.0</x:v>
      </x:c>
      <x:c r="D95" s="48" t="n">
        <x:v>45962</x:v>
      </x:c>
      <x:c r="E95" s="46" t="str">
        <x:v>6300</x:v>
      </x:c>
      <x:c r="F95" s="46" t="str">
        <x:v>Marketing</x:v>
      </x:c>
      <x:c r="G95" s="50" t="n">
        <x:v>10500</x:v>
      </x:c>
      <x:c r="H95" s="2"/>
      <x:c r="I95" s="2"/>
      <x:c r="J95" s="2"/>
    </x:row>
    <x:row r="96">
      <x:c r="C96" s="46" t="str">
        <x:v>v1.0</x:v>
      </x:c>
      <x:c r="D96" s="48" t="n">
        <x:v>45992</x:v>
      </x:c>
      <x:c r="E96" s="46" t="str">
        <x:v>4000</x:v>
      </x:c>
      <x:c r="F96" s="46" t="str">
        <x:v>Room Revenue</x:v>
      </x:c>
      <x:c r="G96" s="50" t="n">
        <x:v>258145</x:v>
      </x:c>
      <x:c r="H96" s="2"/>
      <x:c r="I96" s="2"/>
      <x:c r="J96" s="2"/>
    </x:row>
    <x:row r="97">
      <x:c r="C97" s="46" t="str">
        <x:v>v1.0</x:v>
      </x:c>
      <x:c r="D97" s="48" t="n">
        <x:v>45992</x:v>
      </x:c>
      <x:c r="E97" s="46" t="str">
        <x:v>5000</x:v>
      </x:c>
      <x:c r="F97" s="46" t="str">
        <x:v>Housekeeping Payroll</x:v>
      </x:c>
      <x:c r="G97" s="50" t="n">
        <x:v>21186.33</x:v>
      </x:c>
      <x:c r="H97" s="2"/>
      <x:c r="I97" s="2"/>
      <x:c r="J97" s="2"/>
    </x:row>
    <x:row r="98">
      <x:c r="C98" s="46" t="str">
        <x:v>v1.0</x:v>
      </x:c>
      <x:c r="D98" s="48" t="n">
        <x:v>45992</x:v>
      </x:c>
      <x:c r="E98" s="46" t="str">
        <x:v>5100</x:v>
      </x:c>
      <x:c r="F98" s="46" t="str">
        <x:v>Guest Services</x:v>
      </x:c>
      <x:c r="G98" s="50" t="n">
        <x:v>31883.5</x:v>
      </x:c>
      <x:c r="H98" s="2"/>
      <x:c r="I98" s="2"/>
      <x:c r="J98" s="2"/>
    </x:row>
    <x:row r="99">
      <x:c r="C99" s="46" t="str">
        <x:v>v1.0</x:v>
      </x:c>
      <x:c r="D99" s="48" t="n">
        <x:v>45992</x:v>
      </x:c>
      <x:c r="E99" s="46" t="str">
        <x:v>5200</x:v>
      </x:c>
      <x:c r="F99" s="46" t="str">
        <x:v>Distribution and Payment</x:v>
      </x:c>
      <x:c r="G99" s="50" t="n">
        <x:v>10325.8</x:v>
      </x:c>
      <x:c r="H99" s="2"/>
      <x:c r="I99" s="2"/>
      <x:c r="J99" s="2"/>
    </x:row>
    <x:row r="100">
      <x:c r="C100" s="46" t="str">
        <x:v>v1.0</x:v>
      </x:c>
      <x:c r="D100" s="48" t="n">
        <x:v>45992</x:v>
      </x:c>
      <x:c r="E100" s="46" t="str">
        <x:v>6000</x:v>
      </x:c>
      <x:c r="F100" s="46" t="str">
        <x:v>Fixed Staff Payroll</x:v>
      </x:c>
      <x:c r="G100" s="50" t="n">
        <x:v>29800</x:v>
      </x:c>
      <x:c r="H100" s="2"/>
      <x:c r="I100" s="2"/>
      <x:c r="J100" s="2"/>
    </x:row>
    <x:row r="101">
      <x:c r="C101" s="46" t="str">
        <x:v>v1.0</x:v>
      </x:c>
      <x:c r="D101" s="48" t="n">
        <x:v>45992</x:v>
      </x:c>
      <x:c r="E101" s="46" t="str">
        <x:v>6100</x:v>
      </x:c>
      <x:c r="F101" s="46" t="str">
        <x:v>Rent</x:v>
      </x:c>
      <x:c r="G101" s="50" t="n">
        <x:v>76000</x:v>
      </x:c>
      <x:c r="H101" s="2"/>
      <x:c r="I101" s="2"/>
      <x:c r="J101" s="2"/>
    </x:row>
    <x:row r="102">
      <x:c r="C102" s="46" t="str">
        <x:v>v1.0</x:v>
      </x:c>
      <x:c r="D102" s="48" t="n">
        <x:v>45992</x:v>
      </x:c>
      <x:c r="E102" s="46" t="str">
        <x:v>6200</x:v>
      </x:c>
      <x:c r="F102" s="46" t="str">
        <x:v>Property Overhead</x:v>
      </x:c>
      <x:c r="G102" s="50" t="n">
        <x:v>27300</x:v>
      </x:c>
      <x:c r="H102" s="2"/>
      <x:c r="I102" s="2"/>
      <x:c r="J102" s="2"/>
    </x:row>
    <x:row r="103">
      <x:c r="C103" s="46" t="str">
        <x:v>v1.0</x:v>
      </x:c>
      <x:c r="D103" s="48" t="n">
        <x:v>45992</x:v>
      </x:c>
      <x:c r="E103" s="46" t="str">
        <x:v>6300</x:v>
      </x:c>
      <x:c r="F103" s="46" t="str">
        <x:v>Marketing</x:v>
      </x:c>
      <x:c r="G103" s="50" t="n">
        <x:v>15000</x:v>
      </x:c>
      <x:c r="H103" s="2"/>
      <x:c r="I103" s="2"/>
      <x:c r="J103" s="2"/>
    </x:row>
    <x:row r="104">
      <x:c r="C104" s="46" t="str">
        <x:v>v1.0</x:v>
      </x:c>
      <x:c r="D104" s="48" t="n">
        <x:v>46023</x:v>
      </x:c>
      <x:c r="E104" s="46" t="str">
        <x:v>4000</x:v>
      </x:c>
      <x:c r="F104" s="46" t="str">
        <x:v>Room Revenue</x:v>
      </x:c>
      <x:c r="G104" s="50" t="n">
        <x:v>240849</x:v>
      </x:c>
      <x:c r="H104" s="2"/>
      <x:c r="I104" s="2"/>
      <x:c r="J104" s="2"/>
    </x:row>
    <x:row r="105">
      <x:c r="C105" s="46" t="str">
        <x:v>v1.0</x:v>
      </x:c>
      <x:c r="D105" s="48" t="n">
        <x:v>46023</x:v>
      </x:c>
      <x:c r="E105" s="46" t="str">
        <x:v>5000</x:v>
      </x:c>
      <x:c r="F105" s="46" t="str">
        <x:v>Housekeeping Payroll</x:v>
      </x:c>
      <x:c r="G105" s="50" t="n">
        <x:v>20696.81</x:v>
      </x:c>
      <x:c r="H105" s="2"/>
      <x:c r="I105" s="2"/>
      <x:c r="J105" s="2"/>
    </x:row>
    <x:row r="106">
      <x:c r="C106" s="46" t="str">
        <x:v>v1.0</x:v>
      </x:c>
      <x:c r="D106" s="48" t="n">
        <x:v>46023</x:v>
      </x:c>
      <x:c r="E106" s="46" t="str">
        <x:v>5100</x:v>
      </x:c>
      <x:c r="F106" s="46" t="str">
        <x:v>Guest Services</x:v>
      </x:c>
      <x:c r="G106" s="50" t="n">
        <x:v>30838.8</x:v>
      </x:c>
      <x:c r="H106" s="2"/>
      <x:c r="I106" s="2"/>
      <x:c r="J106" s="2"/>
    </x:row>
    <x:row r="107">
      <x:c r="C107" s="46" t="str">
        <x:v>v1.0</x:v>
      </x:c>
      <x:c r="D107" s="48" t="n">
        <x:v>46023</x:v>
      </x:c>
      <x:c r="E107" s="46" t="str">
        <x:v>5200</x:v>
      </x:c>
      <x:c r="F107" s="46" t="str">
        <x:v>Distribution and Payment</x:v>
      </x:c>
      <x:c r="G107" s="50" t="n">
        <x:v>9633.96</x:v>
      </x:c>
      <x:c r="H107" s="2"/>
      <x:c r="I107" s="2"/>
      <x:c r="J107" s="2"/>
    </x:row>
    <x:row r="108">
      <x:c r="C108" s="46" t="str">
        <x:v>v1.0</x:v>
      </x:c>
      <x:c r="D108" s="48" t="n">
        <x:v>46023</x:v>
      </x:c>
      <x:c r="E108" s="46" t="str">
        <x:v>6000</x:v>
      </x:c>
      <x:c r="F108" s="46" t="str">
        <x:v>Fixed Staff Payroll</x:v>
      </x:c>
      <x:c r="G108" s="50" t="n">
        <x:v>29900</x:v>
      </x:c>
      <x:c r="H108" s="2"/>
      <x:c r="I108" s="2"/>
      <x:c r="J108" s="2"/>
    </x:row>
    <x:row r="109">
      <x:c r="C109" s="46" t="str">
        <x:v>v1.0</x:v>
      </x:c>
      <x:c r="D109" s="48" t="n">
        <x:v>46023</x:v>
      </x:c>
      <x:c r="E109" s="46" t="str">
        <x:v>6100</x:v>
      </x:c>
      <x:c r="F109" s="46" t="str">
        <x:v>Rent</x:v>
      </x:c>
      <x:c r="G109" s="50" t="n">
        <x:v>78000</x:v>
      </x:c>
      <x:c r="H109" s="2"/>
      <x:c r="I109" s="2"/>
      <x:c r="J109" s="2"/>
    </x:row>
    <x:row r="110">
      <x:c r="C110" s="46" t="str">
        <x:v>v1.0</x:v>
      </x:c>
      <x:c r="D110" s="48" t="n">
        <x:v>46023</x:v>
      </x:c>
      <x:c r="E110" s="46" t="str">
        <x:v>6200</x:v>
      </x:c>
      <x:c r="F110" s="46" t="str">
        <x:v>Property Overhead</x:v>
      </x:c>
      <x:c r="G110" s="50" t="n">
        <x:v>28050</x:v>
      </x:c>
      <x:c r="H110" s="2"/>
      <x:c r="I110" s="2"/>
      <x:c r="J110" s="2"/>
    </x:row>
    <x:row r="111">
      <x:c r="C111" s="46" t="str">
        <x:v>v1.0</x:v>
      </x:c>
      <x:c r="D111" s="48" t="n">
        <x:v>46023</x:v>
      </x:c>
      <x:c r="E111" s="46" t="str">
        <x:v>6300</x:v>
      </x:c>
      <x:c r="F111" s="46" t="str">
        <x:v>Marketing</x:v>
      </x:c>
      <x:c r="G111" s="50" t="n">
        <x:v>10200</x:v>
      </x:c>
      <x:c r="H111" s="2"/>
      <x:c r="I111" s="2"/>
      <x:c r="J111" s="2"/>
    </x:row>
    <x:row r="112">
      <x:c r="C112" s="46" t="str">
        <x:v>v1.0</x:v>
      </x:c>
      <x:c r="D112" s="48" t="n">
        <x:v>46054</x:v>
      </x:c>
      <x:c r="E112" s="46" t="str">
        <x:v>4000</x:v>
      </x:c>
      <x:c r="F112" s="46" t="str">
        <x:v>Room Revenue</x:v>
      </x:c>
      <x:c r="G112" s="50" t="n">
        <x:v>234832</x:v>
      </x:c>
      <x:c r="H112" s="2"/>
      <x:c r="I112" s="2"/>
      <x:c r="J112" s="2"/>
    </x:row>
    <x:row r="113">
      <x:c r="C113" s="46" t="str">
        <x:v>v1.0</x:v>
      </x:c>
      <x:c r="D113" s="48" t="n">
        <x:v>46054</x:v>
      </x:c>
      <x:c r="E113" s="46" t="str">
        <x:v>5000</x:v>
      </x:c>
      <x:c r="F113" s="46" t="str">
        <x:v>Housekeeping Payroll</x:v>
      </x:c>
      <x:c r="G113" s="50" t="n">
        <x:v>19408.4</x:v>
      </x:c>
      <x:c r="H113" s="2"/>
      <x:c r="I113" s="2"/>
      <x:c r="J113" s="2"/>
    </x:row>
    <x:row r="114">
      <x:c r="C114" s="46" t="str">
        <x:v>v1.0</x:v>
      </x:c>
      <x:c r="D114" s="48" t="n">
        <x:v>46054</x:v>
      </x:c>
      <x:c r="E114" s="46" t="str">
        <x:v>5100</x:v>
      </x:c>
      <x:c r="F114" s="46" t="str">
        <x:v>Guest Services</x:v>
      </x:c>
      <x:c r="G114" s="50" t="n">
        <x:v>29674</x:v>
      </x:c>
      <x:c r="H114" s="2"/>
      <x:c r="I114" s="2"/>
      <x:c r="J114" s="2"/>
    </x:row>
    <x:row r="115">
      <x:c r="C115" s="46" t="str">
        <x:v>v1.0</x:v>
      </x:c>
      <x:c r="D115" s="48" t="n">
        <x:v>46054</x:v>
      </x:c>
      <x:c r="E115" s="46" t="str">
        <x:v>5200</x:v>
      </x:c>
      <x:c r="F115" s="46" t="str">
        <x:v>Distribution and Payment</x:v>
      </x:c>
      <x:c r="G115" s="50" t="n">
        <x:v>9393.28</x:v>
      </x:c>
      <x:c r="H115" s="2"/>
      <x:c r="I115" s="2"/>
      <x:c r="J115" s="2"/>
    </x:row>
    <x:row r="116">
      <x:c r="C116" s="46" t="str">
        <x:v>v1.0</x:v>
      </x:c>
      <x:c r="D116" s="48" t="n">
        <x:v>46054</x:v>
      </x:c>
      <x:c r="E116" s="46" t="str">
        <x:v>6000</x:v>
      </x:c>
      <x:c r="F116" s="46" t="str">
        <x:v>Fixed Staff Payroll</x:v>
      </x:c>
      <x:c r="G116" s="50" t="n">
        <x:v>30025</x:v>
      </x:c>
      <x:c r="H116" s="2"/>
      <x:c r="I116" s="2"/>
      <x:c r="J116" s="2"/>
    </x:row>
    <x:row r="117">
      <x:c r="C117" s="46" t="str">
        <x:v>v1.0</x:v>
      </x:c>
      <x:c r="D117" s="48" t="n">
        <x:v>46054</x:v>
      </x:c>
      <x:c r="E117" s="46" t="str">
        <x:v>6100</x:v>
      </x:c>
      <x:c r="F117" s="46" t="str">
        <x:v>Rent</x:v>
      </x:c>
      <x:c r="G117" s="50" t="n">
        <x:v>78000</x:v>
      </x:c>
      <x:c r="H117" s="2"/>
      <x:c r="I117" s="2"/>
      <x:c r="J117" s="2"/>
    </x:row>
    <x:row r="118">
      <x:c r="C118" s="46" t="str">
        <x:v>v1.0</x:v>
      </x:c>
      <x:c r="D118" s="48" t="n">
        <x:v>46054</x:v>
      </x:c>
      <x:c r="E118" s="46" t="str">
        <x:v>6200</x:v>
      </x:c>
      <x:c r="F118" s="46" t="str">
        <x:v>Property Overhead</x:v>
      </x:c>
      <x:c r="G118" s="50" t="n">
        <x:v>27920</x:v>
      </x:c>
      <x:c r="H118" s="2"/>
      <x:c r="I118" s="2"/>
      <x:c r="J118" s="2"/>
    </x:row>
    <x:row r="119">
      <x:c r="C119" s="46" t="str">
        <x:v>v1.0</x:v>
      </x:c>
      <x:c r="D119" s="48" t="n">
        <x:v>46054</x:v>
      </x:c>
      <x:c r="E119" s="46" t="str">
        <x:v>6300</x:v>
      </x:c>
      <x:c r="F119" s="46" t="str">
        <x:v>Marketing</x:v>
      </x:c>
      <x:c r="G119" s="50" t="n">
        <x:v>8800</x:v>
      </x:c>
      <x:c r="H119" s="2"/>
      <x:c r="I119" s="2"/>
      <x:c r="J119" s="2"/>
    </x:row>
    <x:row r="120">
      <x:c r="C120" s="46" t="str">
        <x:v>v1.0</x:v>
      </x:c>
      <x:c r="D120" s="48" t="n">
        <x:v>46082</x:v>
      </x:c>
      <x:c r="E120" s="46" t="str">
        <x:v>4000</x:v>
      </x:c>
      <x:c r="F120" s="46" t="str">
        <x:v>Room Revenue</x:v>
      </x:c>
      <x:c r="G120" s="50" t="n">
        <x:v>289307</x:v>
      </x:c>
      <x:c r="H120" s="2"/>
      <x:c r="I120" s="2"/>
      <x:c r="J120" s="2"/>
    </x:row>
    <x:row r="121">
      <x:c r="C121" s="46" t="str">
        <x:v>v1.0</x:v>
      </x:c>
      <x:c r="D121" s="48" t="n">
        <x:v>46082</x:v>
      </x:c>
      <x:c r="E121" s="46" t="str">
        <x:v>5000</x:v>
      </x:c>
      <x:c r="F121" s="46" t="str">
        <x:v>Housekeeping Payroll</x:v>
      </x:c>
      <x:c r="G121" s="50" t="n">
        <x:v>23786.67</x:v>
      </x:c>
      <x:c r="H121" s="2"/>
      <x:c r="I121" s="2"/>
      <x:c r="J121" s="2"/>
    </x:row>
    <x:row r="122">
      <x:c r="C122" s="46" t="str">
        <x:v>v1.0</x:v>
      </x:c>
      <x:c r="D122" s="48" t="n">
        <x:v>46082</x:v>
      </x:c>
      <x:c r="E122" s="46" t="str">
        <x:v>5100</x:v>
      </x:c>
      <x:c r="F122" s="46" t="str">
        <x:v>Guest Services</x:v>
      </x:c>
      <x:c r="G122" s="50" t="n">
        <x:v>36710.2</x:v>
      </x:c>
      <x:c r="H122" s="2"/>
      <x:c r="I122" s="2"/>
      <x:c r="J122" s="2"/>
    </x:row>
    <x:row r="123">
      <x:c r="C123" s="46" t="str">
        <x:v>v1.0</x:v>
      </x:c>
      <x:c r="D123" s="48" t="n">
        <x:v>46082</x:v>
      </x:c>
      <x:c r="E123" s="46" t="str">
        <x:v>5200</x:v>
      </x:c>
      <x:c r="F123" s="46" t="str">
        <x:v>Distribution and Payment</x:v>
      </x:c>
      <x:c r="G123" s="50" t="n">
        <x:v>11572.28</x:v>
      </x:c>
      <x:c r="H123" s="2"/>
      <x:c r="I123" s="2"/>
      <x:c r="J123" s="2"/>
    </x:row>
    <x:row r="124">
      <x:c r="C124" s="46" t="str">
        <x:v>v1.0</x:v>
      </x:c>
      <x:c r="D124" s="48" t="n">
        <x:v>46082</x:v>
      </x:c>
      <x:c r="E124" s="46" t="str">
        <x:v>6000</x:v>
      </x:c>
      <x:c r="F124" s="46" t="str">
        <x:v>Fixed Staff Payroll</x:v>
      </x:c>
      <x:c r="G124" s="50" t="n">
        <x:v>30075</x:v>
      </x:c>
      <x:c r="H124" s="2"/>
      <x:c r="I124" s="2"/>
      <x:c r="J124" s="2"/>
    </x:row>
    <x:row r="125">
      <x:c r="C125" s="46" t="str">
        <x:v>v1.0</x:v>
      </x:c>
      <x:c r="D125" s="48" t="n">
        <x:v>46082</x:v>
      </x:c>
      <x:c r="E125" s="46" t="str">
        <x:v>6100</x:v>
      </x:c>
      <x:c r="F125" s="46" t="str">
        <x:v>Rent</x:v>
      </x:c>
      <x:c r="G125" s="50" t="n">
        <x:v>78000</x:v>
      </x:c>
      <x:c r="H125" s="2"/>
      <x:c r="I125" s="2"/>
      <x:c r="J125" s="2"/>
    </x:row>
    <x:row r="126">
      <x:c r="C126" s="46" t="str">
        <x:v>v1.0</x:v>
      </x:c>
      <x:c r="D126" s="48" t="n">
        <x:v>46082</x:v>
      </x:c>
      <x:c r="E126" s="46" t="str">
        <x:v>6200</x:v>
      </x:c>
      <x:c r="F126" s="46" t="str">
        <x:v>Property Overhead</x:v>
      </x:c>
      <x:c r="G126" s="50" t="n">
        <x:v>28620</x:v>
      </x:c>
      <x:c r="H126" s="2"/>
      <x:c r="I126" s="2"/>
      <x:c r="J126" s="2"/>
    </x:row>
    <x:row r="127">
      <x:c r="C127" s="46" t="str">
        <x:v>v1.0</x:v>
      </x:c>
      <x:c r="D127" s="48" t="n">
        <x:v>46082</x:v>
      </x:c>
      <x:c r="E127" s="46" t="str">
        <x:v>6300</x:v>
      </x:c>
      <x:c r="F127" s="46" t="str">
        <x:v>Marketing</x:v>
      </x:c>
      <x:c r="G127" s="50" t="n">
        <x:v>11300</x:v>
      </x:c>
      <x:c r="H127" s="2"/>
      <x:c r="I127" s="2"/>
      <x:c r="J127" s="2"/>
    </x:row>
    <x:row r="128">
      <x:c r="C128" s="46" t="str">
        <x:v>v1.0</x:v>
      </x:c>
      <x:c r="D128" s="48" t="n">
        <x:v>46113</x:v>
      </x:c>
      <x:c r="E128" s="46" t="str">
        <x:v>4000</x:v>
      </x:c>
      <x:c r="F128" s="46" t="str">
        <x:v>Room Revenue</x:v>
      </x:c>
      <x:c r="G128" s="50" t="n">
        <x:v>300083.5</x:v>
      </x:c>
      <x:c r="H128" s="2"/>
      <x:c r="I128" s="2"/>
      <x:c r="J128" s="2"/>
    </x:row>
    <x:row r="129">
      <x:c r="C129" s="46" t="str">
        <x:v>v1.0</x:v>
      </x:c>
      <x:c r="D129" s="48" t="n">
        <x:v>46113</x:v>
      </x:c>
      <x:c r="E129" s="46" t="str">
        <x:v>5000</x:v>
      </x:c>
      <x:c r="F129" s="46" t="str">
        <x:v>Housekeeping Payroll</x:v>
      </x:c>
      <x:c r="G129" s="50" t="n">
        <x:v>28109.25</x:v>
      </x:c>
      <x:c r="H129" s="2"/>
      <x:c r="I129" s="2"/>
      <x:c r="J129" s="2"/>
    </x:row>
    <x:row r="130">
      <x:c r="C130" s="46" t="str">
        <x:v>v1.0</x:v>
      </x:c>
      <x:c r="D130" s="48" t="n">
        <x:v>46113</x:v>
      </x:c>
      <x:c r="E130" s="46" t="str">
        <x:v>5100</x:v>
      </x:c>
      <x:c r="F130" s="46" t="str">
        <x:v>Guest Services</x:v>
      </x:c>
      <x:c r="G130" s="50" t="n">
        <x:v>37830</x:v>
      </x:c>
      <x:c r="H130" s="2"/>
      <x:c r="I130" s="2"/>
      <x:c r="J130" s="2"/>
    </x:row>
    <x:row r="131">
      <x:c r="C131" s="46" t="str">
        <x:v>v1.0</x:v>
      </x:c>
      <x:c r="D131" s="48" t="n">
        <x:v>46113</x:v>
      </x:c>
      <x:c r="E131" s="46" t="str">
        <x:v>5200</x:v>
      </x:c>
      <x:c r="F131" s="46" t="str">
        <x:v>Distribution and Payment</x:v>
      </x:c>
      <x:c r="G131" s="50" t="n">
        <x:v>12003.34</x:v>
      </x:c>
      <x:c r="H131" s="2"/>
      <x:c r="I131" s="2"/>
      <x:c r="J131" s="2"/>
    </x:row>
    <x:row r="132">
      <x:c r="C132" s="46" t="str">
        <x:v>v1.0</x:v>
      </x:c>
      <x:c r="D132" s="48" t="n">
        <x:v>46113</x:v>
      </x:c>
      <x:c r="E132" s="46" t="str">
        <x:v>6000</x:v>
      </x:c>
      <x:c r="F132" s="46" t="str">
        <x:v>Fixed Staff Payroll</x:v>
      </x:c>
      <x:c r="G132" s="50" t="n">
        <x:v>30200</x:v>
      </x:c>
      <x:c r="H132" s="2"/>
      <x:c r="I132" s="2"/>
      <x:c r="J132" s="2"/>
    </x:row>
    <x:row r="133">
      <x:c r="C133" s="46" t="str">
        <x:v>v1.0</x:v>
      </x:c>
      <x:c r="D133" s="48" t="n">
        <x:v>46113</x:v>
      </x:c>
      <x:c r="E133" s="46" t="str">
        <x:v>6100</x:v>
      </x:c>
      <x:c r="F133" s="46" t="str">
        <x:v>Rent</x:v>
      </x:c>
      <x:c r="G133" s="50" t="n">
        <x:v>78000</x:v>
      </x:c>
      <x:c r="H133" s="2"/>
      <x:c r="I133" s="2"/>
      <x:c r="J133" s="2"/>
    </x:row>
    <x:row r="134">
      <x:c r="C134" s="46" t="str">
        <x:v>v1.0</x:v>
      </x:c>
      <x:c r="D134" s="48" t="n">
        <x:v>46113</x:v>
      </x:c>
      <x:c r="E134" s="46" t="str">
        <x:v>6200</x:v>
      </x:c>
      <x:c r="F134" s="46" t="str">
        <x:v>Property Overhead</x:v>
      </x:c>
      <x:c r="G134" s="50" t="n">
        <x:v>28710</x:v>
      </x:c>
      <x:c r="H134" s="2"/>
      <x:c r="I134" s="2"/>
      <x:c r="J134" s="2"/>
    </x:row>
    <x:row r="135">
      <x:c r="C135" s="46" t="str">
        <x:v>v1.0</x:v>
      </x:c>
      <x:c r="D135" s="48" t="n">
        <x:v>46113</x:v>
      </x:c>
      <x:c r="E135" s="46" t="str">
        <x:v>6300</x:v>
      </x:c>
      <x:c r="F135" s="46" t="str">
        <x:v>Marketing</x:v>
      </x:c>
      <x:c r="G135" s="50" t="n">
        <x:v>13100</x:v>
      </x:c>
      <x:c r="H135" s="2"/>
      <x:c r="I135" s="2"/>
      <x:c r="J135" s="2"/>
    </x:row>
    <x:row r="136">
      <x:c r="C136" s="46" t="str">
        <x:v>v1.0</x:v>
      </x:c>
      <x:c r="D136" s="48" t="n">
        <x:v>46143</x:v>
      </x:c>
      <x:c r="E136" s="46" t="str">
        <x:v>4000</x:v>
      </x:c>
      <x:c r="F136" s="46" t="str">
        <x:v>Room Revenue</x:v>
      </x:c>
      <x:c r="G136" s="50" t="n">
        <x:v>340731</x:v>
      </x:c>
      <x:c r="H136" s="2"/>
      <x:c r="I136" s="2"/>
      <x:c r="J136" s="2"/>
    </x:row>
    <x:row r="137">
      <x:c r="C137" s="46" t="str">
        <x:v>v1.0</x:v>
      </x:c>
      <x:c r="D137" s="48" t="n">
        <x:v>46143</x:v>
      </x:c>
      <x:c r="E137" s="46" t="str">
        <x:v>5000</x:v>
      </x:c>
      <x:c r="F137" s="46" t="str">
        <x:v>Housekeeping Payroll</x:v>
      </x:c>
      <x:c r="G137" s="50" t="n">
        <x:v>29839.05</x:v>
      </x:c>
      <x:c r="H137" s="2"/>
      <x:c r="I137" s="2"/>
      <x:c r="J137" s="2"/>
    </x:row>
    <x:row r="138">
      <x:c r="C138" s="46" t="str">
        <x:v>v1.0</x:v>
      </x:c>
      <x:c r="D138" s="48" t="n">
        <x:v>46143</x:v>
      </x:c>
      <x:c r="E138" s="46" t="str">
        <x:v>5100</x:v>
      </x:c>
      <x:c r="F138" s="46" t="str">
        <x:v>Guest Services</x:v>
      </x:c>
      <x:c r="G138" s="50" t="n">
        <x:v>42352.2</x:v>
      </x:c>
      <x:c r="H138" s="2"/>
      <x:c r="I138" s="2"/>
      <x:c r="J138" s="2"/>
    </x:row>
    <x:row r="139">
      <x:c r="C139" s="46" t="str">
        <x:v>v1.0</x:v>
      </x:c>
      <x:c r="D139" s="48" t="n">
        <x:v>46143</x:v>
      </x:c>
      <x:c r="E139" s="46" t="str">
        <x:v>5200</x:v>
      </x:c>
      <x:c r="F139" s="46" t="str">
        <x:v>Distribution and Payment</x:v>
      </x:c>
      <x:c r="G139" s="50" t="n">
        <x:v>13629.24</x:v>
      </x:c>
      <x:c r="H139" s="2"/>
      <x:c r="I139" s="2"/>
      <x:c r="J139" s="2"/>
    </x:row>
    <x:row r="140">
      <x:c r="C140" s="46" t="str">
        <x:v>v1.0</x:v>
      </x:c>
      <x:c r="D140" s="48" t="n">
        <x:v>46143</x:v>
      </x:c>
      <x:c r="E140" s="46" t="str">
        <x:v>6000</x:v>
      </x:c>
      <x:c r="F140" s="46" t="str">
        <x:v>Fixed Staff Payroll</x:v>
      </x:c>
      <x:c r="G140" s="50" t="n">
        <x:v>30350</x:v>
      </x:c>
      <x:c r="H140" s="2"/>
      <x:c r="I140" s="2"/>
      <x:c r="J140" s="2"/>
    </x:row>
    <x:row r="141">
      <x:c r="C141" s="46" t="str">
        <x:v>v1.0</x:v>
      </x:c>
      <x:c r="D141" s="48" t="n">
        <x:v>46143</x:v>
      </x:c>
      <x:c r="E141" s="46" t="str">
        <x:v>6100</x:v>
      </x:c>
      <x:c r="F141" s="46" t="str">
        <x:v>Rent</x:v>
      </x:c>
      <x:c r="G141" s="50" t="n">
        <x:v>78000</x:v>
      </x:c>
      <x:c r="H141" s="2"/>
      <x:c r="I141" s="2"/>
      <x:c r="J141" s="2"/>
    </x:row>
    <x:row r="142">
      <x:c r="C142" s="46" t="str">
        <x:v>v1.0</x:v>
      </x:c>
      <x:c r="D142" s="48" t="n">
        <x:v>46143</x:v>
      </x:c>
      <x:c r="E142" s="46" t="str">
        <x:v>6200</x:v>
      </x:c>
      <x:c r="F142" s="46" t="str">
        <x:v>Property Overhead</x:v>
      </x:c>
      <x:c r="G142" s="50" t="n">
        <x:v>30350</x:v>
      </x:c>
      <x:c r="H142" s="2"/>
      <x:c r="I142" s="2"/>
      <x:c r="J142" s="2"/>
    </x:row>
    <x:row r="143">
      <x:c r="C143" s="46" t="str">
        <x:v>v1.0</x:v>
      </x:c>
      <x:c r="D143" s="48" t="n">
        <x:v>46143</x:v>
      </x:c>
      <x:c r="E143" s="46" t="str">
        <x:v>6300</x:v>
      </x:c>
      <x:c r="F143" s="46" t="str">
        <x:v>Marketing</x:v>
      </x:c>
      <x:c r="G143" s="50" t="n">
        <x:v>14200</x:v>
      </x:c>
      <x:c r="H143" s="2"/>
      <x:c r="I143" s="2"/>
      <x:c r="J143" s="2"/>
    </x:row>
    <x:row r="144">
      <x:c r="C144" s="46" t="str">
        <x:v>v1.0</x:v>
      </x:c>
      <x:c r="D144" s="48" t="n">
        <x:v>46174</x:v>
      </x:c>
      <x:c r="E144" s="46" t="str">
        <x:v>4000</x:v>
      </x:c>
      <x:c r="F144" s="46" t="str">
        <x:v>Room Revenue</x:v>
      </x:c>
      <x:c r="G144" s="50" t="n">
        <x:v>379057.5</x:v>
      </x:c>
      <x:c r="H144" s="2"/>
      <x:c r="I144" s="2"/>
      <x:c r="J144" s="2"/>
    </x:row>
    <x:row r="145">
      <x:c r="C145" s="46" t="str">
        <x:v>v1.0</x:v>
      </x:c>
      <x:c r="D145" s="48" t="n">
        <x:v>46174</x:v>
      </x:c>
      <x:c r="E145" s="46" t="str">
        <x:v>5000</x:v>
      </x:c>
      <x:c r="F145" s="46" t="str">
        <x:v>Housekeeping Payroll</x:v>
      </x:c>
      <x:c r="G145" s="50" t="n">
        <x:v>29490.3</x:v>
      </x:c>
      <x:c r="H145" s="2"/>
      <x:c r="I145" s="2"/>
      <x:c r="J145" s="2"/>
    </x:row>
    <x:row r="146">
      <x:c r="C146" s="46" t="str">
        <x:v>v1.0</x:v>
      </x:c>
      <x:c r="D146" s="48" t="n">
        <x:v>46174</x:v>
      </x:c>
      <x:c r="E146" s="46" t="str">
        <x:v>5100</x:v>
      </x:c>
      <x:c r="F146" s="46" t="str">
        <x:v>Guest Services</x:v>
      </x:c>
      <x:c r="G146" s="50" t="n">
        <x:v>45526.5</x:v>
      </x:c>
      <x:c r="H146" s="2"/>
      <x:c r="I146" s="2"/>
      <x:c r="J146" s="2"/>
    </x:row>
    <x:row r="147">
      <x:c r="C147" s="46" t="str">
        <x:v>v1.0</x:v>
      </x:c>
      <x:c r="D147" s="48" t="n">
        <x:v>46174</x:v>
      </x:c>
      <x:c r="E147" s="46" t="str">
        <x:v>5200</x:v>
      </x:c>
      <x:c r="F147" s="46" t="str">
        <x:v>Distribution and Payment</x:v>
      </x:c>
      <x:c r="G147" s="50" t="n">
        <x:v>15162.3</x:v>
      </x:c>
      <x:c r="H147" s="2"/>
      <x:c r="I147" s="2"/>
      <x:c r="J147" s="2"/>
    </x:row>
    <x:row r="148">
      <x:c r="C148" s="46" t="str">
        <x:v>v1.0</x:v>
      </x:c>
      <x:c r="D148" s="48" t="n">
        <x:v>46174</x:v>
      </x:c>
      <x:c r="E148" s="46" t="str">
        <x:v>6000</x:v>
      </x:c>
      <x:c r="F148" s="46" t="str">
        <x:v>Fixed Staff Payroll</x:v>
      </x:c>
      <x:c r="G148" s="50" t="n">
        <x:v>30250</x:v>
      </x:c>
      <x:c r="H148" s="2"/>
      <x:c r="I148" s="2"/>
      <x:c r="J148" s="2"/>
    </x:row>
    <x:row r="149">
      <x:c r="C149" s="46" t="str">
        <x:v>v1.0</x:v>
      </x:c>
      <x:c r="D149" s="48" t="n">
        <x:v>46174</x:v>
      </x:c>
      <x:c r="E149" s="46" t="str">
        <x:v>6100</x:v>
      </x:c>
      <x:c r="F149" s="46" t="str">
        <x:v>Rent</x:v>
      </x:c>
      <x:c r="G149" s="50" t="n">
        <x:v>78000</x:v>
      </x:c>
      <x:c r="H149" s="2"/>
      <x:c r="I149" s="2"/>
      <x:c r="J149" s="2"/>
    </x:row>
    <x:row r="150">
      <x:c r="C150" s="46" t="str">
        <x:v>v1.0</x:v>
      </x:c>
      <x:c r="D150" s="48" t="n">
        <x:v>46174</x:v>
      </x:c>
      <x:c r="E150" s="46" t="str">
        <x:v>6200</x:v>
      </x:c>
      <x:c r="F150" s="46" t="str">
        <x:v>Property Overhead</x:v>
      </x:c>
      <x:c r="G150" s="50" t="n">
        <x:v>29410</x:v>
      </x:c>
      <x:c r="H150" s="2"/>
      <x:c r="I150" s="2"/>
      <x:c r="J150" s="2"/>
    </x:row>
    <x:row r="151">
      <x:c r="C151" s="47" t="str">
        <x:v>v1.0</x:v>
      </x:c>
      <x:c r="D151" s="49" t="n">
        <x:v>46174</x:v>
      </x:c>
      <x:c r="E151" s="47" t="str">
        <x:v>6300</x:v>
      </x:c>
      <x:c r="F151" s="47" t="str">
        <x:v>Marketing</x:v>
      </x:c>
      <x:c r="G151" s="51" t="n">
        <x:v>6000</x:v>
      </x:c>
      <x:c r="H151" s="2"/>
      <x:c r="I151" s="2"/>
      <x:c r="J151" s="2"/>
    </x:row>
    <x:row r="152">
      <x:c r="C152" s="2"/>
      <x:c r="D152" s="2"/>
      <x:c r="E152" s="2"/>
      <x:c r="F152" s="2"/>
      <x:c r="G152" s="2"/>
      <x:c r="H152" s="2"/>
      <x:c r="I152" s="2"/>
      <x:c r="J152" s="2"/>
    </x:row>
    <x:row r="153">
      <x:c r="C153" s="2"/>
      <x:c r="D153" s="2"/>
      <x:c r="E153" s="2"/>
      <x:c r="F153" s="2"/>
      <x:c r="G153" s="2"/>
      <x:c r="H153" s="2"/>
      <x:c r="I153" s="2"/>
      <x:c r="J153" s="2"/>
    </x:row>
    <x:row r="154">
      <x:c r="C154" s="2"/>
      <x:c r="D154" s="2"/>
      <x:c r="E154" s="2"/>
      <x:c r="F154" s="2"/>
      <x:c r="G154" s="2"/>
      <x:c r="H154" s="2"/>
      <x:c r="I154" s="2"/>
      <x:c r="J154" s="2"/>
    </x:row>
    <x:row r="155">
      <x:c r="C155" s="41" t="str">
        <x:v>Source: data/operating_actuals.csv | Case version: v1.0 | Static recorded facts</x:v>
      </x:c>
      <x:c r="D155" s="41"/>
      <x:c r="E155" s="41"/>
      <x:c r="F155" s="41"/>
      <x:c r="G155" s="41"/>
      <x:c r="H155" s="41"/>
      <x:c r="I155" s="41"/>
      <x:c r="J155" s="41"/>
    </x:row>
    <x:row r="156">
      <x:c r="C156" s="2"/>
      <x:c r="D156" s="2"/>
      <x:c r="E156" s="2"/>
      <x:c r="F156" s="2"/>
      <x:c r="G156" s="2"/>
      <x:c r="H156" s="2"/>
      <x:c r="I156" s="2"/>
      <x:c r="J156" s="2"/>
    </x:row>
    <x:row r="157" ht="34" customHeight="1">
      <x:c r="C157" s="45" t="str">
        <x:v>case_version</x:v>
      </x:c>
      <x:c r="D157" s="45" t="str">
        <x:v>period</x:v>
      </x:c>
      <x:c r="E157" s="45" t="str">
        <x:v>segment</x:v>
      </x:c>
      <x:c r="F157" s="45" t="str">
        <x:v>occupied_room_nights</x:v>
      </x:c>
      <x:c r="G157" s="45" t="str">
        <x:v>room_revenue</x:v>
      </x:c>
      <x:c r="H157" s="2"/>
      <x:c r="I157" s="2"/>
      <x:c r="J157" s="2"/>
    </x:row>
    <x:row r="158">
      <x:c r="C158" s="46" t="str">
        <x:v>v1.0</x:v>
      </x:c>
      <x:c r="D158" s="48" t="n">
        <x:v>45658</x:v>
      </x:c>
      <x:c r="E158" s="46" t="str">
        <x:v>Retail/Leisure</x:v>
      </x:c>
      <x:c r="F158" s="52" t="n">
        <x:v>1154</x:v>
      </x:c>
      <x:c r="G158" s="50" t="n">
        <x:v>167907</x:v>
      </x:c>
      <x:c r="H158" s="2"/>
      <x:c r="I158" s="2"/>
      <x:c r="J158" s="2"/>
    </x:row>
    <x:row r="159">
      <x:c r="C159" s="46" t="str">
        <x:v>v1.0</x:v>
      </x:c>
      <x:c r="D159" s="48" t="n">
        <x:v>45658</x:v>
      </x:c>
      <x:c r="E159" s="46" t="str">
        <x:v>Negotiated Corporate</x:v>
      </x:c>
      <x:c r="F159" s="52" t="n">
        <x:v>427</x:v>
      </x:c>
      <x:c r="G159" s="50" t="n">
        <x:v>55296.5</x:v>
      </x:c>
      <x:c r="H159" s="2"/>
      <x:c r="I159" s="2"/>
      <x:c r="J159" s="2"/>
    </x:row>
    <x:row r="160">
      <x:c r="C160" s="46" t="str">
        <x:v>v1.0</x:v>
      </x:c>
      <x:c r="D160" s="48" t="n">
        <x:v>45689</x:v>
      </x:c>
      <x:c r="E160" s="46" t="str">
        <x:v>Retail/Leisure</x:v>
      </x:c>
      <x:c r="F160" s="52" t="n">
        <x:v>1109</x:v>
      </x:c>
      <x:c r="G160" s="50" t="n">
        <x:v>165241</x:v>
      </x:c>
      <x:c r="H160" s="2"/>
      <x:c r="I160" s="2"/>
      <x:c r="J160" s="2"/>
    </x:row>
    <x:row r="161">
      <x:c r="C161" s="46" t="str">
        <x:v>v1.0</x:v>
      </x:c>
      <x:c r="D161" s="48" t="n">
        <x:v>45689</x:v>
      </x:c>
      <x:c r="E161" s="46" t="str">
        <x:v>Negotiated Corporate</x:v>
      </x:c>
      <x:c r="F161" s="52" t="n">
        <x:v>431</x:v>
      </x:c>
      <x:c r="G161" s="50" t="n">
        <x:v>56030</x:v>
      </x:c>
      <x:c r="H161" s="2"/>
      <x:c r="I161" s="2"/>
      <x:c r="J161" s="2"/>
    </x:row>
    <x:row r="162">
      <x:c r="C162" s="46" t="str">
        <x:v>v1.0</x:v>
      </x:c>
      <x:c r="D162" s="48" t="n">
        <x:v>45717</x:v>
      </x:c>
      <x:c r="E162" s="46" t="str">
        <x:v>Retail/Leisure</x:v>
      </x:c>
      <x:c r="F162" s="52" t="n">
        <x:v>1367</x:v>
      </x:c>
      <x:c r="G162" s="50" t="n">
        <x:v>211201.5</x:v>
      </x:c>
      <x:c r="H162" s="2"/>
      <x:c r="I162" s="2"/>
      <x:c r="J162" s="2"/>
    </x:row>
    <x:row r="163">
      <x:c r="C163" s="46" t="str">
        <x:v>v1.0</x:v>
      </x:c>
      <x:c r="D163" s="48" t="n">
        <x:v>45717</x:v>
      </x:c>
      <x:c r="E163" s="46" t="str">
        <x:v>Negotiated Corporate</x:v>
      </x:c>
      <x:c r="F163" s="52" t="n">
        <x:v>586</x:v>
      </x:c>
      <x:c r="G163" s="50" t="n">
        <x:v>78231</x:v>
      </x:c>
      <x:c r="H163" s="2"/>
      <x:c r="I163" s="2"/>
      <x:c r="J163" s="2"/>
    </x:row>
    <x:row r="164">
      <x:c r="C164" s="46" t="str">
        <x:v>v1.0</x:v>
      </x:c>
      <x:c r="D164" s="48" t="n">
        <x:v>45748</x:v>
      </x:c>
      <x:c r="E164" s="46" t="str">
        <x:v>Retail/Leisure</x:v>
      </x:c>
      <x:c r="F164" s="52" t="n">
        <x:v>1387</x:v>
      </x:c>
      <x:c r="G164" s="50" t="n">
        <x:v>220533</x:v>
      </x:c>
      <x:c r="H164" s="2"/>
      <x:c r="I164" s="2"/>
      <x:c r="J164" s="2"/>
    </x:row>
    <x:row r="165">
      <x:c r="C165" s="46" t="str">
        <x:v>v1.0</x:v>
      </x:c>
      <x:c r="D165" s="48" t="n">
        <x:v>45748</x:v>
      </x:c>
      <x:c r="E165" s="46" t="str">
        <x:v>Negotiated Corporate</x:v>
      </x:c>
      <x:c r="F165" s="52" t="n">
        <x:v>623</x:v>
      </x:c>
      <x:c r="G165" s="50" t="n">
        <x:v>85974</x:v>
      </x:c>
      <x:c r="H165" s="2"/>
      <x:c r="I165" s="2"/>
      <x:c r="J165" s="2"/>
    </x:row>
    <x:row r="166">
      <x:c r="C166" s="46" t="str">
        <x:v>v1.0</x:v>
      </x:c>
      <x:c r="D166" s="48" t="n">
        <x:v>45778</x:v>
      </x:c>
      <x:c r="E166" s="46" t="str">
        <x:v>Retail/Leisure</x:v>
      </x:c>
      <x:c r="F166" s="52" t="n">
        <x:v>1518</x:v>
      </x:c>
      <x:c r="G166" s="50" t="n">
        <x:v>257301</x:v>
      </x:c>
      <x:c r="H166" s="2"/>
      <x:c r="I166" s="2"/>
      <x:c r="J166" s="2"/>
    </x:row>
    <x:row r="167">
      <x:c r="C167" s="46" t="str">
        <x:v>v1.0</x:v>
      </x:c>
      <x:c r="D167" s="48" t="n">
        <x:v>45778</x:v>
      </x:c>
      <x:c r="E167" s="46" t="str">
        <x:v>Negotiated Corporate</x:v>
      </x:c>
      <x:c r="F167" s="52" t="n">
        <x:v>714</x:v>
      </x:c>
      <x:c r="G167" s="50" t="n">
        <x:v>101745</x:v>
      </x:c>
      <x:c r="H167" s="2"/>
      <x:c r="I167" s="2"/>
      <x:c r="J167" s="2"/>
    </x:row>
    <x:row r="168">
      <x:c r="C168" s="46" t="str">
        <x:v>v1.0</x:v>
      </x:c>
      <x:c r="D168" s="48" t="n">
        <x:v>45809</x:v>
      </x:c>
      <x:c r="E168" s="46" t="str">
        <x:v>Retail/Leisure</x:v>
      </x:c>
      <x:c r="F168" s="52" t="n">
        <x:v>1505</x:v>
      </x:c>
      <x:c r="G168" s="50" t="n">
        <x:v>264127.5</x:v>
      </x:c>
      <x:c r="H168" s="2"/>
      <x:c r="I168" s="2"/>
      <x:c r="J168" s="2"/>
    </x:row>
    <x:row r="169">
      <x:c r="C169" s="46" t="str">
        <x:v>v1.0</x:v>
      </x:c>
      <x:c r="D169" s="48" t="n">
        <x:v>45809</x:v>
      </x:c>
      <x:c r="E169" s="46" t="str">
        <x:v>Negotiated Corporate</x:v>
      </x:c>
      <x:c r="F169" s="52" t="n">
        <x:v>775</x:v>
      </x:c>
      <x:c r="G169" s="50" t="n">
        <x:v>111987.5</x:v>
      </x:c>
      <x:c r="H169" s="2"/>
      <x:c r="I169" s="2"/>
      <x:c r="J169" s="2"/>
    </x:row>
    <x:row r="170">
      <x:c r="C170" s="46" t="str">
        <x:v>v1.0</x:v>
      </x:c>
      <x:c r="D170" s="48" t="n">
        <x:v>45839</x:v>
      </x:c>
      <x:c r="E170" s="46" t="str">
        <x:v>Retail/Leisure</x:v>
      </x:c>
      <x:c r="F170" s="52" t="n">
        <x:v>1647</x:v>
      </x:c>
      <x:c r="G170" s="50" t="n">
        <x:v>304695</x:v>
      </x:c>
      <x:c r="H170" s="2"/>
      <x:c r="I170" s="2"/>
      <x:c r="J170" s="2"/>
    </x:row>
    <x:row r="171">
      <x:c r="C171" s="46" t="str">
        <x:v>v1.0</x:v>
      </x:c>
      <x:c r="D171" s="48" t="n">
        <x:v>45839</x:v>
      </x:c>
      <x:c r="E171" s="46" t="str">
        <x:v>Negotiated Corporate</x:v>
      </x:c>
      <x:c r="F171" s="52" t="n">
        <x:v>926</x:v>
      </x:c>
      <x:c r="G171" s="50" t="n">
        <x:v>139826</x:v>
      </x:c>
      <x:c r="H171" s="2"/>
      <x:c r="I171" s="2"/>
      <x:c r="J171" s="2"/>
    </x:row>
    <x:row r="172">
      <x:c r="C172" s="46" t="str">
        <x:v>v1.0</x:v>
      </x:c>
      <x:c r="D172" s="48" t="n">
        <x:v>45870</x:v>
      </x:c>
      <x:c r="E172" s="46" t="str">
        <x:v>Retail/Leisure</x:v>
      </x:c>
      <x:c r="F172" s="52" t="n">
        <x:v>1612</x:v>
      </x:c>
      <x:c r="G172" s="50" t="n">
        <x:v>293384</x:v>
      </x:c>
      <x:c r="H172" s="2"/>
      <x:c r="I172" s="2"/>
      <x:c r="J172" s="2"/>
    </x:row>
    <x:row r="173">
      <x:c r="C173" s="46" t="str">
        <x:v>v1.0</x:v>
      </x:c>
      <x:c r="D173" s="48" t="n">
        <x:v>45870</x:v>
      </x:c>
      <x:c r="E173" s="46" t="str">
        <x:v>Negotiated Corporate</x:v>
      </x:c>
      <x:c r="F173" s="52" t="n">
        <x:v>868</x:v>
      </x:c>
      <x:c r="G173" s="50" t="n">
        <x:v>128464</x:v>
      </x:c>
      <x:c r="H173" s="2"/>
      <x:c r="I173" s="2"/>
      <x:c r="J173" s="2"/>
    </x:row>
    <x:row r="174">
      <x:c r="C174" s="46" t="str">
        <x:v>v1.0</x:v>
      </x:c>
      <x:c r="D174" s="48" t="n">
        <x:v>45901</x:v>
      </x:c>
      <x:c r="E174" s="46" t="str">
        <x:v>Retail/Leisure</x:v>
      </x:c>
      <x:c r="F174" s="52" t="n">
        <x:v>1407</x:v>
      </x:c>
      <x:c r="G174" s="50" t="n">
        <x:v>241300.5</x:v>
      </x:c>
      <x:c r="H174" s="2"/>
      <x:c r="I174" s="2"/>
      <x:c r="J174" s="2"/>
    </x:row>
    <x:row r="175">
      <x:c r="C175" s="46" t="str">
        <x:v>v1.0</x:v>
      </x:c>
      <x:c r="D175" s="48" t="n">
        <x:v>45901</x:v>
      </x:c>
      <x:c r="E175" s="46" t="str">
        <x:v>Negotiated Corporate</x:v>
      </x:c>
      <x:c r="F175" s="52" t="n">
        <x:v>693</x:v>
      </x:c>
      <x:c r="G175" s="50" t="n">
        <x:v>99445.5</x:v>
      </x:c>
      <x:c r="H175" s="2"/>
      <x:c r="I175" s="2"/>
      <x:c r="J175" s="2"/>
    </x:row>
    <x:row r="176">
      <x:c r="C176" s="46" t="str">
        <x:v>v1.0</x:v>
      </x:c>
      <x:c r="D176" s="48" t="n">
        <x:v>45931</x:v>
      </x:c>
      <x:c r="E176" s="46" t="str">
        <x:v>Retail/Leisure</x:v>
      </x:c>
      <x:c r="F176" s="52" t="n">
        <x:v>1455</x:v>
      </x:c>
      <x:c r="G176" s="50" t="n">
        <x:v>242985</x:v>
      </x:c>
      <x:c r="H176" s="2"/>
      <x:c r="I176" s="2"/>
      <x:c r="J176" s="2"/>
    </x:row>
    <x:row r="177">
      <x:c r="C177" s="46" t="str">
        <x:v>v1.0</x:v>
      </x:c>
      <x:c r="D177" s="48" t="n">
        <x:v>45931</x:v>
      </x:c>
      <x:c r="E177" s="46" t="str">
        <x:v>Negotiated Corporate</x:v>
      </x:c>
      <x:c r="F177" s="52" t="n">
        <x:v>653</x:v>
      </x:c>
      <x:c r="G177" s="50" t="n">
        <x:v>91746.5</x:v>
      </x:c>
      <x:c r="H177" s="2"/>
      <x:c r="I177" s="2"/>
      <x:c r="J177" s="2"/>
    </x:row>
    <x:row r="178">
      <x:c r="C178" s="46" t="str">
        <x:v>v1.0</x:v>
      </x:c>
      <x:c r="D178" s="48" t="n">
        <x:v>45962</x:v>
      </x:c>
      <x:c r="E178" s="46" t="str">
        <x:v>Retail/Leisure</x:v>
      </x:c>
      <x:c r="F178" s="52" t="n">
        <x:v>1235</x:v>
      </x:c>
      <x:c r="G178" s="50" t="n">
        <x:v>190807.5</x:v>
      </x:c>
      <x:c r="H178" s="2"/>
      <x:c r="I178" s="2"/>
      <x:c r="J178" s="2"/>
    </x:row>
    <x:row r="179">
      <x:c r="C179" s="46" t="str">
        <x:v>v1.0</x:v>
      </x:c>
      <x:c r="D179" s="48" t="n">
        <x:v>45962</x:v>
      </x:c>
      <x:c r="E179" s="46" t="str">
        <x:v>Negotiated Corporate</x:v>
      </x:c>
      <x:c r="F179" s="52" t="n">
        <x:v>505</x:v>
      </x:c>
      <x:c r="G179" s="50" t="n">
        <x:v>68680</x:v>
      </x:c>
      <x:c r="H179" s="2"/>
      <x:c r="I179" s="2"/>
      <x:c r="J179" s="2"/>
    </x:row>
    <x:row r="180">
      <x:c r="C180" s="46" t="str">
        <x:v>v1.0</x:v>
      </x:c>
      <x:c r="D180" s="48" t="n">
        <x:v>45992</x:v>
      </x:c>
      <x:c r="E180" s="46" t="str">
        <x:v>Retail/Leisure</x:v>
      </x:c>
      <x:c r="F180" s="52" t="n">
        <x:v>1228</x:v>
      </x:c>
      <x:c r="G180" s="50" t="n">
        <x:v>192796</x:v>
      </x:c>
      <x:c r="H180" s="2"/>
      <x:c r="I180" s="2"/>
      <x:c r="J180" s="2"/>
    </x:row>
    <x:row r="181">
      <x:c r="C181" s="46" t="str">
        <x:v>v1.0</x:v>
      </x:c>
      <x:c r="D181" s="48" t="n">
        <x:v>45992</x:v>
      </x:c>
      <x:c r="E181" s="46" t="str">
        <x:v>Negotiated Corporate</x:v>
      </x:c>
      <x:c r="F181" s="52" t="n">
        <x:v>477</x:v>
      </x:c>
      <x:c r="G181" s="50" t="n">
        <x:v>65349</x:v>
      </x:c>
      <x:c r="H181" s="2"/>
      <x:c r="I181" s="2"/>
      <x:c r="J181" s="2"/>
    </x:row>
    <x:row r="182">
      <x:c r="C182" s="46" t="str">
        <x:v>v1.0</x:v>
      </x:c>
      <x:c r="D182" s="48" t="n">
        <x:v>46023</x:v>
      </x:c>
      <x:c r="E182" s="46" t="str">
        <x:v>Retail/Leisure</x:v>
      </x:c>
      <x:c r="F182" s="52" t="n">
        <x:v>1144</x:v>
      </x:c>
      <x:c r="G182" s="50" t="n">
        <x:v>172744</x:v>
      </x:c>
      <x:c r="H182" s="2"/>
      <x:c r="I182" s="2"/>
      <x:c r="J182" s="2"/>
    </x:row>
    <x:row r="183">
      <x:c r="C183" s="46" t="str">
        <x:v>v1.0</x:v>
      </x:c>
      <x:c r="D183" s="48" t="n">
        <x:v>46023</x:v>
      </x:c>
      <x:c r="E183" s="46" t="str">
        <x:v>Negotiated Corporate</x:v>
      </x:c>
      <x:c r="F183" s="52" t="n">
        <x:v>514</x:v>
      </x:c>
      <x:c r="G183" s="50" t="n">
        <x:v>68105</x:v>
      </x:c>
      <x:c r="H183" s="2"/>
      <x:c r="I183" s="2"/>
      <x:c r="J183" s="2"/>
    </x:row>
    <x:row r="184">
      <x:c r="C184" s="46" t="str">
        <x:v>v1.0</x:v>
      </x:c>
      <x:c r="D184" s="48" t="n">
        <x:v>46054</x:v>
      </x:c>
      <x:c r="E184" s="46" t="str">
        <x:v>Retail/Leisure</x:v>
      </x:c>
      <x:c r="F184" s="52" t="n">
        <x:v>1075</x:v>
      </x:c>
      <x:c r="G184" s="50" t="n">
        <x:v>164475</x:v>
      </x:c>
      <x:c r="H184" s="2"/>
      <x:c r="I184" s="2"/>
      <x:c r="J184" s="2"/>
    </x:row>
    <x:row r="185">
      <x:c r="C185" s="46" t="str">
        <x:v>v1.0</x:v>
      </x:c>
      <x:c r="D185" s="48" t="n">
        <x:v>46054</x:v>
      </x:c>
      <x:c r="E185" s="46" t="str">
        <x:v>Negotiated Corporate</x:v>
      </x:c>
      <x:c r="F185" s="52" t="n">
        <x:v>529</x:v>
      </x:c>
      <x:c r="G185" s="50" t="n">
        <x:v>70357</x:v>
      </x:c>
      <x:c r="H185" s="2"/>
      <x:c r="I185" s="2"/>
      <x:c r="J185" s="2"/>
    </x:row>
    <x:row r="186">
      <x:c r="C186" s="46" t="str">
        <x:v>v1.0</x:v>
      </x:c>
      <x:c r="D186" s="48" t="n">
        <x:v>46082</x:v>
      </x:c>
      <x:c r="E186" s="46" t="str">
        <x:v>Retail/Leisure</x:v>
      </x:c>
      <x:c r="F186" s="52" t="n">
        <x:v>1192</x:v>
      </x:c>
      <x:c r="G186" s="50" t="n">
        <x:v>188932</x:v>
      </x:c>
      <x:c r="H186" s="2"/>
      <x:c r="I186" s="2"/>
      <x:c r="J186" s="2"/>
    </x:row>
    <x:row r="187">
      <x:c r="C187" s="46" t="str">
        <x:v>v1.0</x:v>
      </x:c>
      <x:c r="D187" s="48" t="n">
        <x:v>46082</x:v>
      </x:c>
      <x:c r="E187" s="46" t="str">
        <x:v>Negotiated Corporate</x:v>
      </x:c>
      <x:c r="F187" s="52" t="n">
        <x:v>730</x:v>
      </x:c>
      <x:c r="G187" s="50" t="n">
        <x:v>100375</x:v>
      </x:c>
      <x:c r="H187" s="2"/>
      <x:c r="I187" s="2"/>
      <x:c r="J187" s="2"/>
    </x:row>
    <x:row r="188">
      <x:c r="C188" s="46" t="str">
        <x:v>v1.0</x:v>
      </x:c>
      <x:c r="D188" s="48" t="n">
        <x:v>46113</x:v>
      </x:c>
      <x:c r="E188" s="46" t="str">
        <x:v>Retail/Leisure</x:v>
      </x:c>
      <x:c r="F188" s="52" t="n">
        <x:v>1111</x:v>
      </x:c>
      <x:c r="G188" s="50" t="n">
        <x:v>182204</x:v>
      </x:c>
      <x:c r="H188" s="2"/>
      <x:c r="I188" s="2"/>
      <x:c r="J188" s="2"/>
    </x:row>
    <x:row r="189">
      <x:c r="C189" s="46" t="str">
        <x:v>v1.0</x:v>
      </x:c>
      <x:c r="D189" s="48" t="n">
        <x:v>46113</x:v>
      </x:c>
      <x:c r="E189" s="46" t="str">
        <x:v>Negotiated Corporate</x:v>
      </x:c>
      <x:c r="F189" s="52" t="n">
        <x:v>839</x:v>
      </x:c>
      <x:c r="G189" s="50" t="n">
        <x:v>117879.5</x:v>
      </x:c>
      <x:c r="H189" s="2"/>
      <x:c r="I189" s="2"/>
      <x:c r="J189" s="2"/>
    </x:row>
    <x:row r="190">
      <x:c r="C190" s="46" t="str">
        <x:v>v1.0</x:v>
      </x:c>
      <x:c r="D190" s="48" t="n">
        <x:v>46143</x:v>
      </x:c>
      <x:c r="E190" s="46" t="str">
        <x:v>Retail/Leisure</x:v>
      </x:c>
      <x:c r="F190" s="52" t="n">
        <x:v>1176</x:v>
      </x:c>
      <x:c r="G190" s="50" t="n">
        <x:v>201096</x:v>
      </x:c>
      <x:c r="H190" s="2"/>
      <x:c r="I190" s="2"/>
      <x:c r="J190" s="2"/>
    </x:row>
    <x:row r="191">
      <x:c r="C191" s="46" t="str">
        <x:v>v1.0</x:v>
      </x:c>
      <x:c r="D191" s="48" t="n">
        <x:v>46143</x:v>
      </x:c>
      <x:c r="E191" s="46" t="str">
        <x:v>Negotiated Corporate</x:v>
      </x:c>
      <x:c r="F191" s="52" t="n">
        <x:v>963</x:v>
      </x:c>
      <x:c r="G191" s="50" t="n">
        <x:v>139635</x:v>
      </x:c>
      <x:c r="H191" s="2"/>
      <x:c r="I191" s="2"/>
      <x:c r="J191" s="2"/>
    </x:row>
    <x:row r="192">
      <x:c r="C192" s="46" t="str">
        <x:v>v1.0</x:v>
      </x:c>
      <x:c r="D192" s="48" t="n">
        <x:v>46174</x:v>
      </x:c>
      <x:c r="E192" s="46" t="str">
        <x:v>Retail/Leisure</x:v>
      </x:c>
      <x:c r="F192" s="52" t="n">
        <x:v>1314</x:v>
      </x:c>
      <x:c r="G192" s="50" t="n">
        <x:v>237834</x:v>
      </x:c>
      <x:c r="H192" s="2"/>
      <x:c r="I192" s="2"/>
      <x:c r="J192" s="2"/>
    </x:row>
    <x:row r="193">
      <x:c r="C193" s="47" t="str">
        <x:v>v1.0</x:v>
      </x:c>
      <x:c r="D193" s="49" t="n">
        <x:v>46174</x:v>
      </x:c>
      <x:c r="E193" s="47" t="str">
        <x:v>Negotiated Corporate</x:v>
      </x:c>
      <x:c r="F193" s="53" t="n">
        <x:v>951</x:v>
      </x:c>
      <x:c r="G193" s="51" t="n">
        <x:v>141223.5</x:v>
      </x:c>
      <x:c r="H193" s="2"/>
      <x:c r="I193" s="2"/>
      <x:c r="J193" s="2"/>
    </x:row>
    <x:row r="194">
      <x:c r="C194" s="2"/>
      <x:c r="D194" s="2"/>
      <x:c r="E194" s="2"/>
      <x:c r="F194" s="2"/>
      <x:c r="G194" s="2"/>
      <x:c r="H194" s="2"/>
      <x:c r="I194" s="2"/>
      <x:c r="J194" s="2"/>
    </x:row>
    <x:row r="195">
      <x:c r="C195" s="2"/>
      <x:c r="D195" s="2"/>
      <x:c r="E195" s="2"/>
      <x:c r="F195" s="2"/>
      <x:c r="G195" s="2"/>
      <x:c r="H195" s="2"/>
      <x:c r="I195" s="2"/>
      <x:c r="J195" s="2"/>
    </x:row>
    <x:row r="196">
      <x:c r="C196" s="2"/>
      <x:c r="D196" s="2"/>
      <x:c r="E196" s="2"/>
      <x:c r="F196" s="2"/>
      <x:c r="G196" s="2"/>
      <x:c r="H196" s="2"/>
      <x:c r="I196" s="2"/>
      <x:c r="J196" s="2"/>
    </x:row>
    <x:row r="197">
      <x:c r="C197" s="41" t="str">
        <x:v>Source: data/labor_actuals.csv | Case version: v1.0 | Static recorded facts</x:v>
      </x:c>
      <x:c r="D197" s="41"/>
      <x:c r="E197" s="41"/>
      <x:c r="F197" s="41"/>
      <x:c r="G197" s="41"/>
      <x:c r="H197" s="41"/>
      <x:c r="I197" s="41"/>
      <x:c r="J197" s="41"/>
    </x:row>
    <x:row r="198">
      <x:c r="C198" s="2"/>
      <x:c r="D198" s="2"/>
      <x:c r="E198" s="2"/>
      <x:c r="F198" s="2"/>
      <x:c r="G198" s="2"/>
      <x:c r="H198" s="2"/>
      <x:c r="I198" s="2"/>
      <x:c r="J198" s="2"/>
    </x:row>
    <x:row r="199" ht="34" customHeight="1">
      <x:c r="C199" s="45" t="str">
        <x:v>case_version</x:v>
      </x:c>
      <x:c r="D199" s="45" t="str">
        <x:v>period</x:v>
      </x:c>
      <x:c r="E199" s="45" t="str">
        <x:v>housekeeping_hours</x:v>
      </x:c>
      <x:c r="F199" s="45" t="str">
        <x:v>housekeeping_payroll</x:v>
      </x:c>
      <x:c r="G199" s="45" t="str">
        <x:v>fixed_staff_fte</x:v>
      </x:c>
      <x:c r="H199" s="45" t="str">
        <x:v>fixed_staff_payroll</x:v>
      </x:c>
      <x:c r="I199" s="2"/>
      <x:c r="J199" s="2"/>
    </x:row>
    <x:row r="200">
      <x:c r="C200" s="46" t="str">
        <x:v>v1.0</x:v>
      </x:c>
      <x:c r="D200" s="48" t="n">
        <x:v>45658</x:v>
      </x:c>
      <x:c r="E200" s="54" t="n">
        <x:v>901.17</x:v>
      </x:c>
      <x:c r="F200" s="50" t="n">
        <x:v>18834.45</x:v>
      </x:c>
      <x:c r="G200" s="56" t="n">
        <x:v>5</x:v>
      </x:c>
      <x:c r="H200" s="50" t="n">
        <x:v>28750</x:v>
      </x:c>
      <x:c r="I200" s="2"/>
      <x:c r="J200" s="2"/>
    </x:row>
    <x:row r="201">
      <x:c r="C201" s="46" t="str">
        <x:v>v1.0</x:v>
      </x:c>
      <x:c r="D201" s="48" t="n">
        <x:v>45689</x:v>
      </x:c>
      <x:c r="E201" s="54" t="n">
        <x:v>862.4</x:v>
      </x:c>
      <x:c r="F201" s="50" t="n">
        <x:v>18110.4</x:v>
      </x:c>
      <x:c r="G201" s="56" t="n">
        <x:v>5</x:v>
      </x:c>
      <x:c r="H201" s="50" t="n">
        <x:v>28800</x:v>
      </x:c>
      <x:c r="I201" s="2"/>
      <x:c r="J201" s="2"/>
    </x:row>
    <x:row r="202">
      <x:c r="C202" s="46" t="str">
        <x:v>v1.0</x:v>
      </x:c>
      <x:c r="D202" s="48" t="n">
        <x:v>45717</x:v>
      </x:c>
      <x:c r="E202" s="54" t="n">
        <x:v>1074.15</x:v>
      </x:c>
      <x:c r="F202" s="50" t="n">
        <x:v>22610.86</x:v>
      </x:c>
      <x:c r="G202" s="56" t="n">
        <x:v>4.9</x:v>
      </x:c>
      <x:c r="H202" s="50" t="n">
        <x:v>28322</x:v>
      </x:c>
      <x:c r="I202" s="2"/>
      <x:c r="J202" s="2"/>
    </x:row>
    <x:row r="203">
      <x:c r="C203" s="46" t="str">
        <x:v>v1.0</x:v>
      </x:c>
      <x:c r="D203" s="48" t="n">
        <x:v>45748</x:v>
      </x:c>
      <x:c r="E203" s="54" t="n">
        <x:v>1105.5</x:v>
      </x:c>
      <x:c r="F203" s="50" t="n">
        <x:v>23436.6</x:v>
      </x:c>
      <x:c r="G203" s="56" t="n">
        <x:v>5</x:v>
      </x:c>
      <x:c r="H203" s="50" t="n">
        <x:v>29000</x:v>
      </x:c>
      <x:c r="I203" s="2"/>
      <x:c r="J203" s="2"/>
    </x:row>
    <x:row r="204">
      <x:c r="C204" s="46" t="str">
        <x:v>v1.0</x:v>
      </x:c>
      <x:c r="D204" s="48" t="n">
        <x:v>45778</x:v>
      </x:c>
      <x:c r="E204" s="54" t="n">
        <x:v>1182.96</x:v>
      </x:c>
      <x:c r="F204" s="50" t="n">
        <x:v>25137.9</x:v>
      </x:c>
      <x:c r="G204" s="56" t="n">
        <x:v>5</x:v>
      </x:c>
      <x:c r="H204" s="50" t="n">
        <x:v>29100</x:v>
      </x:c>
      <x:c r="I204" s="2"/>
      <x:c r="J204" s="2"/>
    </x:row>
    <x:row r="205">
      <x:c r="C205" s="46" t="str">
        <x:v>v1.0</x:v>
      </x:c>
      <x:c r="D205" s="48" t="n">
        <x:v>45809</x:v>
      </x:c>
      <x:c r="E205" s="54" t="n">
        <x:v>1208.4</x:v>
      </x:c>
      <x:c r="F205" s="50" t="n">
        <x:v>25738.92</x:v>
      </x:c>
      <x:c r="G205" s="56" t="n">
        <x:v>5</x:v>
      </x:c>
      <x:c r="H205" s="50" t="n">
        <x:v>29200</x:v>
      </x:c>
      <x:c r="I205" s="2"/>
      <x:c r="J205" s="2"/>
    </x:row>
    <x:row r="206">
      <x:c r="C206" s="46" t="str">
        <x:v>v1.0</x:v>
      </x:c>
      <x:c r="D206" s="48" t="n">
        <x:v>45839</x:v>
      </x:c>
      <x:c r="E206" s="54" t="n">
        <x:v>1286.5</x:v>
      </x:c>
      <x:c r="F206" s="50" t="n">
        <x:v>27595.43</x:v>
      </x:c>
      <x:c r="G206" s="56" t="n">
        <x:v>5.1</x:v>
      </x:c>
      <x:c r="H206" s="50" t="n">
        <x:v>29886</x:v>
      </x:c>
      <x:c r="I206" s="2"/>
      <x:c r="J206" s="2"/>
    </x:row>
    <x:row r="207">
      <x:c r="C207" s="46" t="str">
        <x:v>v1.0</x:v>
      </x:c>
      <x:c r="D207" s="48" t="n">
        <x:v>45870</x:v>
      </x:c>
      <x:c r="E207" s="54" t="n">
        <x:v>1264.8</x:v>
      </x:c>
      <x:c r="F207" s="50" t="n">
        <x:v>27193.2</x:v>
      </x:c>
      <x:c r="G207" s="56" t="n">
        <x:v>5.1</x:v>
      </x:c>
      <x:c r="H207" s="50" t="n">
        <x:v>29988</x:v>
      </x:c>
      <x:c r="I207" s="2"/>
      <x:c r="J207" s="2"/>
    </x:row>
    <x:row r="208">
      <x:c r="C208" s="46" t="str">
        <x:v>v1.0</x:v>
      </x:c>
      <x:c r="D208" s="48" t="n">
        <x:v>45901</x:v>
      </x:c>
      <x:c r="E208" s="54" t="n">
        <x:v>1134</x:v>
      </x:c>
      <x:c r="F208" s="50" t="n">
        <x:v>24437.7</x:v>
      </x:c>
      <x:c r="G208" s="56" t="n">
        <x:v>5</x:v>
      </x:c>
      <x:c r="H208" s="50" t="n">
        <x:v>29500</x:v>
      </x:c>
      <x:c r="I208" s="2"/>
      <x:c r="J208" s="2"/>
    </x:row>
    <x:row r="209">
      <x:c r="C209" s="46" t="str">
        <x:v>v1.0</x:v>
      </x:c>
      <x:c r="D209" s="48" t="n">
        <x:v>45931</x:v>
      </x:c>
      <x:c r="E209" s="54" t="n">
        <x:v>1138.32</x:v>
      </x:c>
      <x:c r="F209" s="50" t="n">
        <x:v>24701.54</x:v>
      </x:c>
      <x:c r="G209" s="56" t="n">
        <x:v>5</x:v>
      </x:c>
      <x:c r="H209" s="50" t="n">
        <x:v>29600</x:v>
      </x:c>
      <x:c r="I209" s="2"/>
      <x:c r="J209" s="2"/>
    </x:row>
    <x:row r="210">
      <x:c r="C210" s="46" t="str">
        <x:v>v1.0</x:v>
      </x:c>
      <x:c r="D210" s="48" t="n">
        <x:v>45962</x:v>
      </x:c>
      <x:c r="E210" s="54" t="n">
        <x:v>957</x:v>
      </x:c>
      <x:c r="F210" s="50" t="n">
        <x:v>20814.75</x:v>
      </x:c>
      <x:c r="G210" s="56" t="n">
        <x:v>5</x:v>
      </x:c>
      <x:c r="H210" s="50" t="n">
        <x:v>29700</x:v>
      </x:c>
      <x:c r="I210" s="2"/>
      <x:c r="J210" s="2"/>
    </x:row>
    <x:row r="211">
      <x:c r="C211" s="46" t="str">
        <x:v>v1.0</x:v>
      </x:c>
      <x:c r="D211" s="48" t="n">
        <x:v>45992</x:v>
      </x:c>
      <x:c r="E211" s="54" t="n">
        <x:v>971.85</x:v>
      </x:c>
      <x:c r="F211" s="50" t="n">
        <x:v>21186.33</x:v>
      </x:c>
      <x:c r="G211" s="56" t="n">
        <x:v>5</x:v>
      </x:c>
      <x:c r="H211" s="50" t="n">
        <x:v>29800</x:v>
      </x:c>
      <x:c r="I211" s="2"/>
      <x:c r="J211" s="2"/>
    </x:row>
    <x:row r="212">
      <x:c r="C212" s="46" t="str">
        <x:v>v1.0</x:v>
      </x:c>
      <x:c r="D212" s="48" t="n">
        <x:v>46023</x:v>
      </x:c>
      <x:c r="E212" s="54" t="n">
        <x:v>945.06</x:v>
      </x:c>
      <x:c r="F212" s="50" t="n">
        <x:v>20696.81</x:v>
      </x:c>
      <x:c r="G212" s="56" t="n">
        <x:v>5</x:v>
      </x:c>
      <x:c r="H212" s="50" t="n">
        <x:v>29900</x:v>
      </x:c>
      <x:c r="I212" s="2"/>
      <x:c r="J212" s="2"/>
    </x:row>
    <x:row r="213">
      <x:c r="C213" s="46" t="str">
        <x:v>v1.0</x:v>
      </x:c>
      <x:c r="D213" s="48" t="n">
        <x:v>46054</x:v>
      </x:c>
      <x:c r="E213" s="54" t="n">
        <x:v>882.2</x:v>
      </x:c>
      <x:c r="F213" s="50" t="n">
        <x:v>19408.4</x:v>
      </x:c>
      <x:c r="G213" s="56" t="n">
        <x:v>5</x:v>
      </x:c>
      <x:c r="H213" s="50" t="n">
        <x:v>30025</x:v>
      </x:c>
      <x:c r="I213" s="2"/>
      <x:c r="J213" s="2"/>
    </x:row>
    <x:row r="214">
      <x:c r="C214" s="46" t="str">
        <x:v>v1.0</x:v>
      </x:c>
      <x:c r="D214" s="48" t="n">
        <x:v>46082</x:v>
      </x:c>
      <x:c r="E214" s="54" t="n">
        <x:v>1076.32</x:v>
      </x:c>
      <x:c r="F214" s="50" t="n">
        <x:v>23786.67</x:v>
      </x:c>
      <x:c r="G214" s="56" t="n">
        <x:v>5</x:v>
      </x:c>
      <x:c r="H214" s="50" t="n">
        <x:v>30075</x:v>
      </x:c>
      <x:c r="I214" s="2"/>
      <x:c r="J214" s="2"/>
    </x:row>
    <x:row r="215">
      <x:c r="C215" s="46" t="str">
        <x:v>v1.0</x:v>
      </x:c>
      <x:c r="D215" s="48" t="n">
        <x:v>46113</x:v>
      </x:c>
      <x:c r="E215" s="54" t="n">
        <x:v>1209</x:v>
      </x:c>
      <x:c r="F215" s="50" t="n">
        <x:v>28109.25</x:v>
      </x:c>
      <x:c r="G215" s="56" t="n">
        <x:v>5</x:v>
      </x:c>
      <x:c r="H215" s="50" t="n">
        <x:v>30200</x:v>
      </x:c>
      <x:c r="I215" s="2"/>
      <x:c r="J215" s="2"/>
    </x:row>
    <x:row r="216">
      <x:c r="C216" s="46" t="str">
        <x:v>v1.0</x:v>
      </x:c>
      <x:c r="D216" s="48" t="n">
        <x:v>46143</x:v>
      </x:c>
      <x:c r="E216" s="54" t="n">
        <x:v>1283.4</x:v>
      </x:c>
      <x:c r="F216" s="50" t="n">
        <x:v>29839.05</x:v>
      </x:c>
      <x:c r="G216" s="56" t="n">
        <x:v>5</x:v>
      </x:c>
      <x:c r="H216" s="50" t="n">
        <x:v>30350</x:v>
      </x:c>
      <x:c r="I216" s="2"/>
      <x:c r="J216" s="2"/>
    </x:row>
    <x:row r="217">
      <x:c r="C217" s="47" t="str">
        <x:v>v1.0</x:v>
      </x:c>
      <x:c r="D217" s="49" t="n">
        <x:v>46174</x:v>
      </x:c>
      <x:c r="E217" s="55" t="n">
        <x:v>1268.4</x:v>
      </x:c>
      <x:c r="F217" s="51" t="n">
        <x:v>29490.3</x:v>
      </x:c>
      <x:c r="G217" s="57" t="n">
        <x:v>5</x:v>
      </x:c>
      <x:c r="H217" s="51" t="n">
        <x:v>30250</x:v>
      </x:c>
      <x:c r="I217" s="2"/>
      <x:c r="J217" s="2"/>
    </x:row>
    <x:row r="218">
      <x:c r="C218" s="2"/>
      <x:c r="D218" s="2"/>
      <x:c r="E218" s="2"/>
      <x:c r="F218" s="2"/>
      <x:c r="G218" s="2"/>
      <x:c r="H218" s="2"/>
      <x:c r="I218" s="2"/>
      <x:c r="J218" s="2"/>
    </x:row>
    <x:row r="219">
      <x:c r="C219" s="2"/>
      <x:c r="D219" s="2"/>
      <x:c r="E219" s="2"/>
      <x:c r="F219" s="2"/>
      <x:c r="G219" s="2"/>
      <x:c r="H219" s="2"/>
      <x:c r="I219" s="2"/>
      <x:c r="J219" s="2"/>
    </x:row>
    <x:row r="220">
      <x:c r="C220" s="2"/>
      <x:c r="D220" s="2"/>
      <x:c r="E220" s="2"/>
      <x:c r="F220" s="2"/>
      <x:c r="G220" s="2"/>
      <x:c r="H220" s="2"/>
      <x:c r="I220" s="2"/>
      <x:c r="J220" s="2"/>
    </x:row>
    <x:row r="221">
      <x:c r="C221" s="41" t="str">
        <x:v>Source: data/case_updates.csv | Information cutoff: July 8, 2026 | Static case information</x:v>
      </x:c>
      <x:c r="D221" s="41"/>
      <x:c r="E221" s="41"/>
      <x:c r="F221" s="41"/>
      <x:c r="G221" s="41"/>
      <x:c r="H221" s="41"/>
      <x:c r="I221" s="41"/>
      <x:c r="J221" s="41"/>
    </x:row>
    <x:row r="222">
      <x:c r="C222" s="2"/>
      <x:c r="D222" s="2"/>
      <x:c r="E222" s="2"/>
      <x:c r="F222" s="2"/>
      <x:c r="G222" s="2"/>
      <x:c r="H222" s="2"/>
      <x:c r="I222" s="2"/>
      <x:c r="J222" s="2"/>
    </x:row>
    <x:row r="223" ht="34" customHeight="1">
      <x:c r="C223" s="45" t="str">
        <x:v>update_id</x:v>
      </x:c>
      <x:c r="D223" s="45" t="str">
        <x:v>as_of_date</x:v>
      </x:c>
      <x:c r="E223" s="45" t="str">
        <x:v>effective_start</x:v>
      </x:c>
      <x:c r="F223" s="45" t="str">
        <x:v>effective_end</x:v>
      </x:c>
      <x:c r="G223" s="45" t="str">
        <x:v>category</x:v>
      </x:c>
      <x:c r="H223" s="45" t="str">
        <x:v>observation</x:v>
      </x:c>
      <x:c r="I223" s="45" t="str">
        <x:v>evidence_status</x:v>
      </x:c>
      <x:c r="J223" s="45" t="str">
        <x:v>forecast_relevance</x:v>
      </x:c>
    </x:row>
    <x:row r="224" ht="48" customHeight="1">
      <x:c r="C224" s="46" t="str">
        <x:v>UPD-2026-001</x:v>
      </x:c>
      <x:c r="D224" s="48" t="n">
        <x:v>46127</x:v>
      </x:c>
      <x:c r="E224" s="48" t="n">
        <x:v>46082</x:v>
      </x:c>
      <x:c r="F224" s="48" t="n">
        <x:v>46173</x:v>
      </x:c>
      <x:c r="G224" s="46" t="str">
        <x:v>Demand</x:v>
      </x:c>
      <x:c r="H224" s="58" t="str">
        <x:v>Weekly property records show retail/leisure occupied room nights below the approved planning pattern during March and April.</x:v>
      </x:c>
      <x:c r="I224" s="46" t="str">
        <x:v>Confirmed</x:v>
      </x:c>
      <x:c r="J224" s="58" t="str">
        <x:v>Use the dated results when reassessing second-half retail/leisure demand.</x:v>
      </x:c>
    </x:row>
    <x:row r="225" ht="48" customHeight="1">
      <x:c r="C225" s="46" t="str">
        <x:v>UPD-2026-002</x:v>
      </x:c>
      <x:c r="D225" s="48" t="n">
        <x:v>46162</x:v>
      </x:c>
      <x:c r="E225" s="48" t="n">
        <x:v>46082</x:v>
      </x:c>
      <x:c r="F225" s="48" t="n">
        <x:v>46203</x:v>
      </x:c>
      <x:c r="G225" s="46" t="str">
        <x:v>Customer Mix</x:v>
      </x:c>
      <x:c r="H225" s="58" t="str">
        <x:v>Negotiated corporate accounts generated additional transient room nights during the spring; no guaranteed room blocks are in place.</x:v>
      </x:c>
      <x:c r="I225" s="46" t="str">
        <x:v>Confirmed</x:v>
      </x:c>
      <x:c r="J225" s="58" t="str">
        <x:v>Separate customer mix from total demand when updating the outlook.</x:v>
      </x:c>
    </x:row>
    <x:row r="226" ht="48" customHeight="1">
      <x:c r="C226" s="46" t="str">
        <x:v>UPD-2026-003</x:v>
      </x:c>
      <x:c r="D226" s="48" t="n">
        <x:v>46099</x:v>
      </x:c>
      <x:c r="E226" s="48" t="n">
        <x:v>46113</x:v>
      </x:c>
      <x:c r="F226" s="48" t="n">
        <x:v>46387</x:v>
      </x:c>
      <x:c r="G226" s="46" t="str">
        <x:v>Labor Rate</x:v>
      </x:c>
      <x:c r="H226" s="58" t="str">
        <x:v>The loaded housekeeping wage increases to 23.25 per hour on April 1.</x:v>
      </x:c>
      <x:c r="I226" s="46" t="str">
        <x:v>Confirmed</x:v>
      </x:c>
      <x:c r="J226" s="58" t="str">
        <x:v>Apply the confirmed wage schedule from its effective date.</x:v>
      </x:c>
    </x:row>
    <x:row r="227" ht="48" customHeight="1">
      <x:c r="C227" s="46" t="str">
        <x:v>UPD-2026-004</x:v>
      </x:c>
      <x:c r="D227" s="48" t="n">
        <x:v>46193</x:v>
      </x:c>
      <x:c r="E227" s="48" t="n">
        <x:v>46113</x:v>
      </x:c>
      <x:c r="F227" s="48" t="n">
        <x:v>46203</x:v>
      </x:c>
      <x:c r="G227" s="46" t="str">
        <x:v>Labor Productivity</x:v>
      </x:c>
      <x:c r="H227" s="58" t="str">
        <x:v>Property logs record higher housekeeping hours during April and May; management expects the transition to continue easing after June.</x:v>
      </x:c>
      <x:c r="I227" s="46" t="str">
        <x:v>Management Estimate</x:v>
      </x:c>
      <x:c r="J227" s="58" t="str">
        <x:v>Retain the observed disruption and document any future normalization assumption.</x:v>
      </x:c>
    </x:row>
    <x:row r="228" ht="48" customHeight="1">
      <x:c r="C228" s="46" t="str">
        <x:v>UPD-2026-005</x:v>
      </x:c>
      <x:c r="D228" s="48" t="n">
        <x:v>46197</x:v>
      </x:c>
      <x:c r="E228" s="48" t="n">
        <x:v>46174</x:v>
      </x:c>
      <x:c r="F228" s="48" t="n">
        <x:v>46295</x:v>
      </x:c>
      <x:c r="G228" s="46" t="str">
        <x:v>Marketing Timing</x:v>
      </x:c>
      <x:c r="H228" s="58" t="str">
        <x:v>The marketing activity scheduled for June was not delivered and has been rescheduled for September.</x:v>
      </x:c>
      <x:c r="I228" s="46" t="str">
        <x:v>Confirmed</x:v>
      </x:c>
      <x:c r="J228" s="58" t="str">
        <x:v>Reflect service timing rather than payment timing in future assumptions.</x:v>
      </x:c>
    </x:row>
    <x:row r="229" ht="48" customHeight="1">
      <x:c r="C229" s="46" t="str">
        <x:v>UPD-2026-006</x:v>
      </x:c>
      <x:c r="D229" s="48" t="n">
        <x:v>46203</x:v>
      </x:c>
      <x:c r="E229" s="48" t="n">
        <x:v>46143</x:v>
      </x:c>
      <x:c r="F229" s="48" t="n">
        <x:v>46173</x:v>
      </x:c>
      <x:c r="G229" s="46" t="str">
        <x:v>Property Overhead</x:v>
      </x:c>
      <x:c r="H229" s="58" t="str">
        <x:v>A modest May property-overhead increase remains under vendor-detail review; available records do not establish a definitive cause.</x:v>
      </x:c>
      <x:c r="I229" s="46" t="str">
        <x:v>Unconfirmed</x:v>
      </x:c>
      <x:c r="J229" s="58" t="str">
        <x:v>Request invoice detail before changing ongoing overhead assumptions.</x:v>
      </x:c>
    </x:row>
    <x:row r="230" ht="48" customHeight="1">
      <x:c r="C230" s="47" t="str">
        <x:v>UPD-2026-007</x:v>
      </x:c>
      <x:c r="D230" s="49" t="n">
        <x:v>46211</x:v>
      </x:c>
      <x:c r="E230" s="49" t="n">
        <x:v>46204</x:v>
      </x:c>
      <x:c r="F230" s="49" t="n">
        <x:v>46387</x:v>
      </x:c>
      <x:c r="G230" s="47" t="str">
        <x:v>Demand Outlook</x:v>
      </x:c>
      <x:c r="H230" s="59" t="str">
        <x:v>Management's current view assumes partial second-half retail/leisure recovery, subject to summer pickup.</x:v>
      </x:c>
      <x:c r="I230" s="47" t="str">
        <x:v>Management Estimate</x:v>
      </x:c>
      <x:c r="J230" s="59" t="str">
        <x:v>Use only as a documented future assumption; recorded actuals remain unchanged.</x:v>
      </x:c>
    </x:row>
  </x:sheetData>
  <x:pageMargins left="0.7" right="0.7" top="0.75" bottom="0.75" header="0.3" footer="0.3"/>
  <x:tableParts count="4">
    <x:tablePart xmlns:r="http://schemas.openxmlformats.org/officeDocument/2006/relationships" r:id="R92164c3ff6e844ab"/>
    <x:tablePart xmlns:r="http://schemas.openxmlformats.org/officeDocument/2006/relationships" r:id="Rfe53e62bd93b4bbc"/>
    <x:tablePart xmlns:r="http://schemas.openxmlformats.org/officeDocument/2006/relationships" r:id="Reb201008fc024536"/>
    <x:tablePart xmlns:r="http://schemas.openxmlformats.org/officeDocument/2006/relationships" r:id="Rc40670bed9f24ec3"/>
  </x:tableParts>
</x:worksheet>
</file>

<file path=xl/worksheets/sheet3.xml><?xml version="1.0" encoding="utf-8"?>
<x:worksheet xmlns:x="http://schemas.openxmlformats.org/spreadsheetml/2006/main">
  <x:sheetPr>
    <x:tabColor rgb="FF2F6B70"/>
  </x:sheetPr>
  <x:sheetViews>
    <x:sheetView showGridLines="0" workbookViewId="0">
      <x:pane xSplit="4" ySplit="7" topLeftCell="E8" activePane="bottomRight" state="frozen"/>
    </x:sheetView>
  </x:sheetViews>
  <x:sheetFormatPr defaultRowHeight="15"/>
  <x:cols>
    <x:col min="3" max="3" width="18" hidden="0" customWidth="1"/>
    <x:col min="4" max="4" width="13" hidden="0" customWidth="1"/>
    <x:col min="5" max="5" width="15" hidden="0" customWidth="1"/>
    <x:col min="6" max="6" width="22" hidden="0" customWidth="1"/>
    <x:col min="7" max="7" width="15" hidden="0" customWidth="1"/>
    <x:col min="8" max="8" width="14" hidden="0" customWidth="1"/>
    <x:col min="9" max="9" width="14" hidden="0" customWidth="1"/>
    <x:col min="10" max="10" width="23" hidden="0" customWidth="1"/>
    <x:col min="11" max="11" width="23" hidden="0" customWidth="1"/>
    <x:col min="12" max="12" width="22" hidden="0" customWidth="1"/>
    <x:col min="13" max="13" width="18" hidden="0" customWidth="1"/>
    <x:col min="14" max="14" width="15" hidden="0" customWidth="1"/>
    <x:col min="15" max="15" width="15" hidden="0" customWidth="1"/>
    <x:col min="16" max="16" width="24" hidden="0" customWidth="1"/>
    <x:col min="17" max="17" width="16" hidden="0" customWidth="1"/>
    <x:col min="18" max="18" width="18" hidden="0" customWidth="1"/>
  </x:cols>
  <x:sheetData>
    <x:row r="2" ht="25" customHeight="1">
      <x:c r="C2" s="3" t="str">
        <x:v>Approved 2026 budget assumptions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>
      <x:c r="C3" s="41" t="str">
        <x:v>The frozen approved plan is the single authoritative source for the Budget sheet.</x:v>
      </x:c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C5" s="41" t="str">
        <x:v>Source: data/approved_budget_assumptions.csv | Case version: v1.0 | Approved before 2026 actual results</x:v>
      </x:c>
      <x:c r="D5" s="41"/>
      <x:c r="E5" s="41"/>
      <x:c r="F5" s="41"/>
      <x:c r="G5" s="41"/>
      <x:c r="H5" s="41"/>
      <x:c r="I5" s="41"/>
      <x:c r="J5" s="41"/>
      <x:c r="K5" s="41"/>
      <x:c r="L5" s="41"/>
      <x:c r="M5" s="41"/>
      <x:c r="N5" s="41"/>
      <x:c r="O5" s="41"/>
      <x:c r="P5" s="41"/>
      <x:c r="Q5" s="41"/>
      <x:c r="R5" s="41"/>
    </x:row>
    <x:row r="6"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34" customHeight="1">
      <x:c r="C7" s="45" t="str">
        <x:v>case_version</x:v>
      </x:c>
      <x:c r="D7" s="45" t="str">
        <x:v>period</x:v>
      </x:c>
      <x:c r="E7" s="45" t="str">
        <x:v>rooms_available</x:v>
      </x:c>
      <x:c r="F7" s="45" t="str">
        <x:v>total_occupied_room_nights</x:v>
      </x:c>
      <x:c r="G7" s="45" t="str">
        <x:v>corporate_share</x:v>
      </x:c>
      <x:c r="H7" s="45" t="str">
        <x:v>retail_adr</x:v>
      </x:c>
      <x:c r="I7" s="45" t="str">
        <x:v>corporate_adr</x:v>
      </x:c>
      <x:c r="J7" s="45" t="str">
        <x:v>housekeeping_hours_per_occupied_room</x:v>
      </x:c>
      <x:c r="K7" s="45" t="str">
        <x:v>housekeeping_loaded_wage_per_hour</x:v>
      </x:c>
      <x:c r="L7" s="45" t="str">
        <x:v>guest_service_cost_per_occupied_room</x:v>
      </x:c>
      <x:c r="M7" s="45" t="str">
        <x:v>distribution_fee_rate</x:v>
      </x:c>
      <x:c r="N7" s="45" t="str">
        <x:v>fixed_staff_fte</x:v>
      </x:c>
      <x:c r="O7" s="45" t="str">
        <x:v>fixed_staff_loaded_cost_per_fte</x:v>
      </x:c>
      <x:c r="P7" s="45" t="str">
        <x:v>rent</x:v>
      </x:c>
      <x:c r="Q7" s="45" t="str">
        <x:v>property_overhead</x:v>
      </x:c>
      <x:c r="R7" s="45" t="str">
        <x:v>marketing</x:v>
      </x:c>
    </x:row>
    <x:row r="8">
      <x:c r="C8" s="60" t="str">
        <x:v>v1.0</x:v>
      </x:c>
      <x:c r="D8" s="64" t="n">
        <x:v>46023</x:v>
      </x:c>
      <x:c r="E8" s="66" t="n">
        <x:v>100</x:v>
      </x:c>
      <x:c r="F8" s="66" t="n">
        <x:v>1705</x:v>
      </x:c>
      <x:c r="G8" s="68" t="n">
        <x:v>0.3</x:v>
      </x:c>
      <x:c r="H8" s="70" t="n">
        <x:v>150</x:v>
      </x:c>
      <x:c r="I8" s="70" t="n">
        <x:v>132</x:v>
      </x:c>
      <x:c r="J8" s="72" t="n">
        <x:v>0.56</x:v>
      </x:c>
      <x:c r="K8" s="70" t="n">
        <x:v>22</x:v>
      </x:c>
      <x:c r="L8" s="70" t="n">
        <x:v>18.5</x:v>
      </x:c>
      <x:c r="M8" s="68" t="n">
        <x:v>0.04</x:v>
      </x:c>
      <x:c r="N8" s="74" t="n">
        <x:v>5</x:v>
      </x:c>
      <x:c r="O8" s="70" t="n">
        <x:v>6000</x:v>
      </x:c>
      <x:c r="P8" s="70" t="n">
        <x:v>78000</x:v>
      </x:c>
      <x:c r="Q8" s="70" t="n">
        <x:v>28000</x:v>
      </x:c>
      <x:c r="R8" s="70" t="n">
        <x:v>10000</x:v>
      </x:c>
    </x:row>
    <x:row r="9">
      <x:c r="C9" s="60" t="str">
        <x:v>v1.0</x:v>
      </x:c>
      <x:c r="D9" s="64" t="n">
        <x:v>46054</x:v>
      </x:c>
      <x:c r="E9" s="66" t="n">
        <x:v>100</x:v>
      </x:c>
      <x:c r="F9" s="66" t="n">
        <x:v>1624</x:v>
      </x:c>
      <x:c r="G9" s="68" t="n">
        <x:v>0.31</x:v>
      </x:c>
      <x:c r="H9" s="70" t="n">
        <x:v>152</x:v>
      </x:c>
      <x:c r="I9" s="70" t="n">
        <x:v>133</x:v>
      </x:c>
      <x:c r="J9" s="72" t="n">
        <x:v>0.55</x:v>
      </x:c>
      <x:c r="K9" s="70" t="n">
        <x:v>22</x:v>
      </x:c>
      <x:c r="L9" s="70" t="n">
        <x:v>18.7</x:v>
      </x:c>
      <x:c r="M9" s="68" t="n">
        <x:v>0.04</x:v>
      </x:c>
      <x:c r="N9" s="74" t="n">
        <x:v>5</x:v>
      </x:c>
      <x:c r="O9" s="70" t="n">
        <x:v>6000</x:v>
      </x:c>
      <x:c r="P9" s="70" t="n">
        <x:v>78000</x:v>
      </x:c>
      <x:c r="Q9" s="70" t="n">
        <x:v>28100</x:v>
      </x:c>
      <x:c r="R9" s="70" t="n">
        <x:v>9000</x:v>
      </x:c>
    </x:row>
    <x:row r="10">
      <x:c r="C10" s="60" t="str">
        <x:v>v1.0</x:v>
      </x:c>
      <x:c r="D10" s="64" t="n">
        <x:v>46082</x:v>
      </x:c>
      <x:c r="E10" s="66" t="n">
        <x:v>100</x:v>
      </x:c>
      <x:c r="F10" s="66" t="n">
        <x:v>2015</x:v>
      </x:c>
      <x:c r="G10" s="68" t="n">
        <x:v>0.32</x:v>
      </x:c>
      <x:c r="H10" s="70" t="n">
        <x:v>158</x:v>
      </x:c>
      <x:c r="I10" s="70" t="n">
        <x:v>137</x:v>
      </x:c>
      <x:c r="J10" s="72" t="n">
        <x:v>0.54</x:v>
      </x:c>
      <x:c r="K10" s="70" t="n">
        <x:v>22</x:v>
      </x:c>
      <x:c r="L10" s="70" t="n">
        <x:v>19</x:v>
      </x:c>
      <x:c r="M10" s="68" t="n">
        <x:v>0.04</x:v>
      </x:c>
      <x:c r="N10" s="74" t="n">
        <x:v>5</x:v>
      </x:c>
      <x:c r="O10" s="70" t="n">
        <x:v>6000</x:v>
      </x:c>
      <x:c r="P10" s="70" t="n">
        <x:v>78000</x:v>
      </x:c>
      <x:c r="Q10" s="70" t="n">
        <x:v>28500</x:v>
      </x:c>
      <x:c r="R10" s="70" t="n">
        <x:v>11000</x:v>
      </x:c>
    </x:row>
    <x:row r="11">
      <x:c r="C11" s="60" t="str">
        <x:v>v1.0</x:v>
      </x:c>
      <x:c r="D11" s="64" t="n">
        <x:v>46113</x:v>
      </x:c>
      <x:c r="E11" s="66" t="n">
        <x:v>100</x:v>
      </x:c>
      <x:c r="F11" s="66" t="n">
        <x:v>2100</x:v>
      </x:c>
      <x:c r="G11" s="68" t="n">
        <x:v>0.34</x:v>
      </x:c>
      <x:c r="H11" s="70" t="n">
        <x:v>164</x:v>
      </x:c>
      <x:c r="I11" s="70" t="n">
        <x:v>140</x:v>
      </x:c>
      <x:c r="J11" s="72" t="n">
        <x:v>0.53</x:v>
      </x:c>
      <x:c r="K11" s="70" t="n">
        <x:v>22</x:v>
      </x:c>
      <x:c r="L11" s="70" t="n">
        <x:v>19.2</x:v>
      </x:c>
      <x:c r="M11" s="68" t="n">
        <x:v>0.04</x:v>
      </x:c>
      <x:c r="N11" s="74" t="n">
        <x:v>5</x:v>
      </x:c>
      <x:c r="O11" s="70" t="n">
        <x:v>6000</x:v>
      </x:c>
      <x:c r="P11" s="70" t="n">
        <x:v>78000</x:v>
      </x:c>
      <x:c r="Q11" s="70" t="n">
        <x:v>28600</x:v>
      </x:c>
      <x:c r="R11" s="70" t="n">
        <x:v>13000</x:v>
      </x:c>
    </x:row>
    <x:row r="12">
      <x:c r="C12" s="60" t="str">
        <x:v>v1.0</x:v>
      </x:c>
      <x:c r="D12" s="64" t="n">
        <x:v>46143</x:v>
      </x:c>
      <x:c r="E12" s="66" t="n">
        <x:v>100</x:v>
      </x:c>
      <x:c r="F12" s="66" t="n">
        <x:v>2294</x:v>
      </x:c>
      <x:c r="G12" s="68" t="n">
        <x:v>0.35</x:v>
      </x:c>
      <x:c r="H12" s="70" t="n">
        <x:v>172</x:v>
      </x:c>
      <x:c r="I12" s="70" t="n">
        <x:v>145</x:v>
      </x:c>
      <x:c r="J12" s="72" t="n">
        <x:v>0.52</x:v>
      </x:c>
      <x:c r="K12" s="70" t="n">
        <x:v>22</x:v>
      </x:c>
      <x:c r="L12" s="70" t="n">
        <x:v>19.5</x:v>
      </x:c>
      <x:c r="M12" s="68" t="n">
        <x:v>0.04</x:v>
      </x:c>
      <x:c r="N12" s="74" t="n">
        <x:v>5</x:v>
      </x:c>
      <x:c r="O12" s="70" t="n">
        <x:v>6000</x:v>
      </x:c>
      <x:c r="P12" s="70" t="n">
        <x:v>78000</x:v>
      </x:c>
      <x:c r="Q12" s="70" t="n">
        <x:v>28900</x:v>
      </x:c>
      <x:c r="R12" s="70" t="n">
        <x:v>14000</x:v>
      </x:c>
    </x:row>
    <x:row r="13">
      <x:c r="C13" s="60" t="str">
        <x:v>v1.0</x:v>
      </x:c>
      <x:c r="D13" s="64" t="n">
        <x:v>46174</x:v>
      </x:c>
      <x:c r="E13" s="66" t="n">
        <x:v>100</x:v>
      </x:c>
      <x:c r="F13" s="66" t="n">
        <x:v>2340</x:v>
      </x:c>
      <x:c r="G13" s="68" t="n">
        <x:v>0.36</x:v>
      </x:c>
      <x:c r="H13" s="70" t="n">
        <x:v>180</x:v>
      </x:c>
      <x:c r="I13" s="70" t="n">
        <x:v>148</x:v>
      </x:c>
      <x:c r="J13" s="72" t="n">
        <x:v>0.51</x:v>
      </x:c>
      <x:c r="K13" s="70" t="n">
        <x:v>22</x:v>
      </x:c>
      <x:c r="L13" s="70" t="n">
        <x:v>19.8</x:v>
      </x:c>
      <x:c r="M13" s="68" t="n">
        <x:v>0.04</x:v>
      </x:c>
      <x:c r="N13" s="74" t="n">
        <x:v>5</x:v>
      </x:c>
      <x:c r="O13" s="70" t="n">
        <x:v>6000</x:v>
      </x:c>
      <x:c r="P13" s="70" t="n">
        <x:v>78000</x:v>
      </x:c>
      <x:c r="Q13" s="70" t="n">
        <x:v>29200</x:v>
      </x:c>
      <x:c r="R13" s="70" t="n">
        <x:v>24000</x:v>
      </x:c>
    </x:row>
    <x:row r="14">
      <x:c r="C14" s="60" t="str">
        <x:v>v1.0</x:v>
      </x:c>
      <x:c r="D14" s="64" t="n">
        <x:v>46204</x:v>
      </x:c>
      <x:c r="E14" s="66" t="n">
        <x:v>100</x:v>
      </x:c>
      <x:c r="F14" s="66" t="n">
        <x:v>2604</x:v>
      </x:c>
      <x:c r="G14" s="68" t="n">
        <x:v>0.38</x:v>
      </x:c>
      <x:c r="H14" s="70" t="n">
        <x:v>188</x:v>
      </x:c>
      <x:c r="I14" s="70" t="n">
        <x:v>153</x:v>
      </x:c>
      <x:c r="J14" s="72" t="n">
        <x:v>0.5</x:v>
      </x:c>
      <x:c r="K14" s="70" t="n">
        <x:v>22.75</x:v>
      </x:c>
      <x:c r="L14" s="70" t="n">
        <x:v>20</x:v>
      </x:c>
      <x:c r="M14" s="68" t="n">
        <x:v>0.04</x:v>
      </x:c>
      <x:c r="N14" s="74" t="n">
        <x:v>5</x:v>
      </x:c>
      <x:c r="O14" s="70" t="n">
        <x:v>6120</x:v>
      </x:c>
      <x:c r="P14" s="70" t="n">
        <x:v>78000</x:v>
      </x:c>
      <x:c r="Q14" s="70" t="n">
        <x:v>29800</x:v>
      </x:c>
      <x:c r="R14" s="70" t="n">
        <x:v>18000</x:v>
      </x:c>
    </x:row>
    <x:row r="15">
      <x:c r="C15" s="60" t="str">
        <x:v>v1.0</x:v>
      </x:c>
      <x:c r="D15" s="64" t="n">
        <x:v>46235</x:v>
      </x:c>
      <x:c r="E15" s="66" t="n">
        <x:v>100</x:v>
      </x:c>
      <x:c r="F15" s="66" t="n">
        <x:v>2542</x:v>
      </x:c>
      <x:c r="G15" s="68" t="n">
        <x:v>0.39</x:v>
      </x:c>
      <x:c r="H15" s="70" t="n">
        <x:v>185</x:v>
      </x:c>
      <x:c r="I15" s="70" t="n">
        <x:v>151</x:v>
      </x:c>
      <x:c r="J15" s="72" t="n">
        <x:v>0.5</x:v>
      </x:c>
      <x:c r="K15" s="70" t="n">
        <x:v>22.75</x:v>
      </x:c>
      <x:c r="L15" s="70" t="n">
        <x:v>20</x:v>
      </x:c>
      <x:c r="M15" s="68" t="n">
        <x:v>0.04</x:v>
      </x:c>
      <x:c r="N15" s="74" t="n">
        <x:v>5</x:v>
      </x:c>
      <x:c r="O15" s="70" t="n">
        <x:v>6120</x:v>
      </x:c>
      <x:c r="P15" s="70" t="n">
        <x:v>78000</x:v>
      </x:c>
      <x:c r="Q15" s="70" t="n">
        <x:v>30000</x:v>
      </x:c>
      <x:c r="R15" s="70" t="n">
        <x:v>15000</x:v>
      </x:c>
    </x:row>
    <x:row r="16">
      <x:c r="C16" s="60" t="str">
        <x:v>v1.0</x:v>
      </x:c>
      <x:c r="D16" s="64" t="n">
        <x:v>46266</x:v>
      </x:c>
      <x:c r="E16" s="66" t="n">
        <x:v>100</x:v>
      </x:c>
      <x:c r="F16" s="66" t="n">
        <x:v>2190</x:v>
      </x:c>
      <x:c r="G16" s="68" t="n">
        <x:v>0.4</x:v>
      </x:c>
      <x:c r="H16" s="70" t="n">
        <x:v>175</x:v>
      </x:c>
      <x:c r="I16" s="70" t="n">
        <x:v>146</x:v>
      </x:c>
      <x:c r="J16" s="72" t="n">
        <x:v>0.52</x:v>
      </x:c>
      <x:c r="K16" s="70" t="n">
        <x:v>22.75</x:v>
      </x:c>
      <x:c r="L16" s="70" t="n">
        <x:v>19.8</x:v>
      </x:c>
      <x:c r="M16" s="68" t="n">
        <x:v>0.04</x:v>
      </x:c>
      <x:c r="N16" s="74" t="n">
        <x:v>5</x:v>
      </x:c>
      <x:c r="O16" s="70" t="n">
        <x:v>6120</x:v>
      </x:c>
      <x:c r="P16" s="70" t="n">
        <x:v>78000</x:v>
      </x:c>
      <x:c r="Q16" s="70" t="n">
        <x:v>29400</x:v>
      </x:c>
      <x:c r="R16" s="70" t="n">
        <x:v>12000</x:v>
      </x:c>
    </x:row>
    <x:row r="17">
      <x:c r="C17" s="60" t="str">
        <x:v>v1.0</x:v>
      </x:c>
      <x:c r="D17" s="64" t="n">
        <x:v>46296</x:v>
      </x:c>
      <x:c r="E17" s="66" t="n">
        <x:v>100</x:v>
      </x:c>
      <x:c r="F17" s="66" t="n">
        <x:v>2201</x:v>
      </x:c>
      <x:c r="G17" s="68" t="n">
        <x:v>0.38</x:v>
      </x:c>
      <x:c r="H17" s="70" t="n">
        <x:v>170</x:v>
      </x:c>
      <x:c r="I17" s="70" t="n">
        <x:v>144</x:v>
      </x:c>
      <x:c r="J17" s="72" t="n">
        <x:v>0.53</x:v>
      </x:c>
      <x:c r="K17" s="70" t="n">
        <x:v>22.75</x:v>
      </x:c>
      <x:c r="L17" s="70" t="n">
        <x:v>19.5</x:v>
      </x:c>
      <x:c r="M17" s="68" t="n">
        <x:v>0.04</x:v>
      </x:c>
      <x:c r="N17" s="74" t="n">
        <x:v>5</x:v>
      </x:c>
      <x:c r="O17" s="70" t="n">
        <x:v>6120</x:v>
      </x:c>
      <x:c r="P17" s="70" t="n">
        <x:v>78000</x:v>
      </x:c>
      <x:c r="Q17" s="70" t="n">
        <x:v>29100</x:v>
      </x:c>
      <x:c r="R17" s="70" t="n">
        <x:v>13000</x:v>
      </x:c>
    </x:row>
    <x:row r="18">
      <x:c r="C18" s="60" t="str">
        <x:v>v1.0</x:v>
      </x:c>
      <x:c r="D18" s="64" t="n">
        <x:v>46327</x:v>
      </x:c>
      <x:c r="E18" s="66" t="n">
        <x:v>100</x:v>
      </x:c>
      <x:c r="F18" s="66" t="n">
        <x:v>1830</x:v>
      </x:c>
      <x:c r="G18" s="68" t="n">
        <x:v>0.34</x:v>
      </x:c>
      <x:c r="H18" s="70" t="n">
        <x:v>158</x:v>
      </x:c>
      <x:c r="I18" s="70" t="n">
        <x:v>138</x:v>
      </x:c>
      <x:c r="J18" s="72" t="n">
        <x:v>0.55</x:v>
      </x:c>
      <x:c r="K18" s="70" t="n">
        <x:v>22.75</x:v>
      </x:c>
      <x:c r="L18" s="70" t="n">
        <x:v>19</x:v>
      </x:c>
      <x:c r="M18" s="68" t="n">
        <x:v>0.04</x:v>
      </x:c>
      <x:c r="N18" s="74" t="n">
        <x:v>5</x:v>
      </x:c>
      <x:c r="O18" s="70" t="n">
        <x:v>6120</x:v>
      </x:c>
      <x:c r="P18" s="70" t="n">
        <x:v>78000</x:v>
      </x:c>
      <x:c r="Q18" s="70" t="n">
        <x:v>28700</x:v>
      </x:c>
      <x:c r="R18" s="70" t="n">
        <x:v>12000</x:v>
      </x:c>
    </x:row>
    <x:row r="19">
      <x:c r="C19" s="61" t="str">
        <x:v>v1.0</x:v>
      </x:c>
      <x:c r="D19" s="65" t="n">
        <x:v>46357</x:v>
      </x:c>
      <x:c r="E19" s="67" t="n">
        <x:v>100</x:v>
      </x:c>
      <x:c r="F19" s="67" t="n">
        <x:v>1829</x:v>
      </x:c>
      <x:c r="G19" s="69" t="n">
        <x:v>0.32</x:v>
      </x:c>
      <x:c r="H19" s="71" t="n">
        <x:v>162</x:v>
      </x:c>
      <x:c r="I19" s="71" t="n">
        <x:v>140</x:v>
      </x:c>
      <x:c r="J19" s="73" t="n">
        <x:v>0.56</x:v>
      </x:c>
      <x:c r="K19" s="71" t="n">
        <x:v>22.75</x:v>
      </x:c>
      <x:c r="L19" s="71" t="n">
        <x:v>19.2</x:v>
      </x:c>
      <x:c r="M19" s="69" t="n">
        <x:v>0.04</x:v>
      </x:c>
      <x:c r="N19" s="75" t="n">
        <x:v>5</x:v>
      </x:c>
      <x:c r="O19" s="71" t="n">
        <x:v>6120</x:v>
      </x:c>
      <x:c r="P19" s="71" t="n">
        <x:v>78000</x:v>
      </x:c>
      <x:c r="Q19" s="71" t="n">
        <x:v>29000</x:v>
      </x:c>
      <x:c r="R19" s="71" t="n">
        <x:v>16000</x:v>
      </x:c>
    </x:row>
    <x:row r="20"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</x:row>
    <x:row r="21"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</x:row>
    <x:row r="22" ht="28" customHeight="1">
      <x:c r="C22" s="27" t="str">
        <x:v>Input treatment</x:v>
      </x:c>
      <x:c r="D22" s="38" t="str">
        <x:v>Static approved source values; do not overwrite for forecast or scenarios.</x:v>
      </x:c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</x:row>
    <x:row r="23" ht="28" customHeight="1">
      <x:c r="C23" s="27" t="str">
        <x:v>Date convention</x:v>
      </x:c>
      <x:c r="D23" s="38" t="str">
        <x:v>Monthly period keys use the first day of each month.</x:v>
      </x:c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</x:row>
    <x:row r="24" ht="28" customHeight="1">
      <x:c r="C24" s="27" t="str">
        <x:v>Budget link</x:v>
      </x:c>
      <x:c r="D24" s="38" t="str">
        <x:v>Budget formulas match each monthly header to this table.</x:v>
      </x:c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</x:row>
    <x:row r="25" ht="28" customHeight="1">
      <x:c r="C25" s="27" t="str">
        <x:v>Formatting</x:v>
      </x:c>
      <x:c r="D25" s="38" t="str">
        <x:v>Blue font and pale-yellow fill identify approved source inputs.</x:v>
      </x:c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</x:row>
  </x:sheetData>
  <x:mergeCells>
    <x:mergeCell ref="D22:R22"/>
    <x:mergeCell ref="D23:R23"/>
    <x:mergeCell ref="D24:R24"/>
    <x:mergeCell ref="D25:R25"/>
  </x:mergeCells>
  <x:pageMargins left="0.7" right="0.7" top="0.75" bottom="0.75" header="0.3" footer="0.3"/>
  <x:tableParts count="1">
    <x:tablePart xmlns:r="http://schemas.openxmlformats.org/officeDocument/2006/relationships" r:id="R82cd1bd7c00343d6"/>
  </x:tableParts>
</x:worksheet>
</file>

<file path=xl/worksheets/sheet4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3" max="3" width="3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7" hidden="0" customWidth="1"/>
  </x:cols>
  <x:sheetData>
    <x:row r="2" ht="25" customHeight="1">
      <x:c r="C2" s="3" t="str">
        <x:v>Approved 2026 operating budget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>
      <x:c r="C3" s="41" t="str">
        <x:v>Formula-driven build from the frozen approved assumption pack. Expenses are shown as positive values.</x:v>
      </x:c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>
      <x:c r="C5" s="79" t="str">
        <x:v>Metric</x:v>
      </x:c>
      <x:c r="D5" s="82" t="n">
        <x:v>46023</x:v>
      </x:c>
      <x:c r="E5" s="82" t="n">
        <x:v>46054</x:v>
      </x:c>
      <x:c r="F5" s="82" t="n">
        <x:v>46082</x:v>
      </x:c>
      <x:c r="G5" s="82" t="n">
        <x:v>46113</x:v>
      </x:c>
      <x:c r="H5" s="82" t="n">
        <x:v>46143</x:v>
      </x:c>
      <x:c r="I5" s="82" t="n">
        <x:v>46174</x:v>
      </x:c>
      <x:c r="J5" s="82" t="n">
        <x:v>46204</x:v>
      </x:c>
      <x:c r="K5" s="82" t="n">
        <x:v>46235</x:v>
      </x:c>
      <x:c r="L5" s="82" t="n">
        <x:v>46266</x:v>
      </x:c>
      <x:c r="M5" s="82" t="n">
        <x:v>46296</x:v>
      </x:c>
      <x:c r="N5" s="82" t="n">
        <x:v>46327</x:v>
      </x:c>
      <x:c r="O5" s="82" t="n">
        <x:v>46357</x:v>
      </x:c>
      <x:c r="P5" s="81" t="str">
        <x:v>FY2026</x:v>
      </x:c>
    </x:row>
    <x:row r="6">
      <x:c r="C6" s="83" t="str">
        <x:v>FY column uses sums for additive lines and weighted or average calculations for rates and monthly levels.</x:v>
      </x:c>
      <x:c r="D6" s="83"/>
      <x:c r="E6" s="83"/>
      <x:c r="F6" s="83"/>
      <x:c r="G6" s="83"/>
      <x:c r="H6" s="83"/>
      <x:c r="I6" s="83"/>
      <x:c r="J6" s="83"/>
      <x:c r="K6" s="83"/>
      <x:c r="L6" s="83"/>
      <x:c r="M6" s="83"/>
      <x:c r="N6" s="83"/>
      <x:c r="O6" s="83"/>
      <x:c r="P6" s="83"/>
    </x:row>
    <x:row r="7" ht="20" customHeight="1">
      <x:c r="C7" s="86" t="str">
        <x:v>Operating drivers</x:v>
      </x:c>
      <x:c r="D7" s="87"/>
      <x:c r="E7" s="87"/>
      <x:c r="F7" s="87"/>
      <x:c r="G7" s="87"/>
      <x:c r="H7" s="87"/>
      <x:c r="I7" s="87"/>
      <x:c r="J7" s="87"/>
      <x:c r="K7" s="87"/>
      <x:c r="L7" s="87"/>
      <x:c r="M7" s="87"/>
      <x:c r="N7" s="87"/>
      <x:c r="O7" s="87"/>
      <x:c r="P7" s="88"/>
    </x:row>
    <x:row r="8">
      <x:c r="C8" s="2" t="str">
        <x:v>Rooms available</x:v>
      </x:c>
      <x:c r="D8" s="110" t="n">
        <x:f>INDEX(Assumptions!$E$8:$E$19,MATCH(D$5,Assumptions!$D$8:$D$19,0))</x:f>
        <x:v>100</x:v>
      </x:c>
      <x:c r="E8" s="110" t="n">
        <x:f>INDEX(Assumptions!$E$8:$E$19,MATCH(E$5,Assumptions!$D$8:$D$19,0))</x:f>
        <x:v>100</x:v>
      </x:c>
      <x:c r="F8" s="110" t="n">
        <x:f>INDEX(Assumptions!$E$8:$E$19,MATCH(F$5,Assumptions!$D$8:$D$19,0))</x:f>
        <x:v>100</x:v>
      </x:c>
      <x:c r="G8" s="110" t="n">
        <x:f>INDEX(Assumptions!$E$8:$E$19,MATCH(G$5,Assumptions!$D$8:$D$19,0))</x:f>
        <x:v>100</x:v>
      </x:c>
      <x:c r="H8" s="110" t="n">
        <x:f>INDEX(Assumptions!$E$8:$E$19,MATCH(H$5,Assumptions!$D$8:$D$19,0))</x:f>
        <x:v>100</x:v>
      </x:c>
      <x:c r="I8" s="110" t="n">
        <x:f>INDEX(Assumptions!$E$8:$E$19,MATCH(I$5,Assumptions!$D$8:$D$19,0))</x:f>
        <x:v>100</x:v>
      </x:c>
      <x:c r="J8" s="110" t="n">
        <x:f>INDEX(Assumptions!$E$8:$E$19,MATCH(J$5,Assumptions!$D$8:$D$19,0))</x:f>
        <x:v>100</x:v>
      </x:c>
      <x:c r="K8" s="110" t="n">
        <x:f>INDEX(Assumptions!$E$8:$E$19,MATCH(K$5,Assumptions!$D$8:$D$19,0))</x:f>
        <x:v>100</x:v>
      </x:c>
      <x:c r="L8" s="110" t="n">
        <x:f>INDEX(Assumptions!$E$8:$E$19,MATCH(L$5,Assumptions!$D$8:$D$19,0))</x:f>
        <x:v>100</x:v>
      </x:c>
      <x:c r="M8" s="110" t="n">
        <x:f>INDEX(Assumptions!$E$8:$E$19,MATCH(M$5,Assumptions!$D$8:$D$19,0))</x:f>
        <x:v>100</x:v>
      </x:c>
      <x:c r="N8" s="110" t="n">
        <x:f>INDEX(Assumptions!$E$8:$E$19,MATCH(N$5,Assumptions!$D$8:$D$19,0))</x:f>
        <x:v>100</x:v>
      </x:c>
      <x:c r="O8" s="110" t="n">
        <x:f>INDEX(Assumptions!$E$8:$E$19,MATCH(O$5,Assumptions!$D$8:$D$19,0))</x:f>
        <x:v>100</x:v>
      </x:c>
      <x:c r="P8" s="91" t="n">
        <x:f>AVERAGE(D8:O8)</x:f>
        <x:v>100</x:v>
      </x:c>
    </x:row>
    <x:row r="9">
      <x:c r="C9" s="2" t="str">
        <x:v>Calendar days</x:v>
      </x:c>
      <x:c r="D9" s="91" t="n">
        <x:f>DATE(YEAR(D$5),MONTH(D$5)+1,1)-D$5</x:f>
        <x:v>31</x:v>
      </x:c>
      <x:c r="E9" s="91" t="n">
        <x:f>DATE(YEAR(E$5),MONTH(E$5)+1,1)-E$5</x:f>
        <x:v>28</x:v>
      </x:c>
      <x:c r="F9" s="91" t="n">
        <x:f>DATE(YEAR(F$5),MONTH(F$5)+1,1)-F$5</x:f>
        <x:v>31</x:v>
      </x:c>
      <x:c r="G9" s="91" t="n">
        <x:f>DATE(YEAR(G$5),MONTH(G$5)+1,1)-G$5</x:f>
        <x:v>30</x:v>
      </x:c>
      <x:c r="H9" s="91" t="n">
        <x:f>DATE(YEAR(H$5),MONTH(H$5)+1,1)-H$5</x:f>
        <x:v>31</x:v>
      </x:c>
      <x:c r="I9" s="91" t="n">
        <x:f>DATE(YEAR(I$5),MONTH(I$5)+1,1)-I$5</x:f>
        <x:v>30</x:v>
      </x:c>
      <x:c r="J9" s="91" t="n">
        <x:f>DATE(YEAR(J$5),MONTH(J$5)+1,1)-J$5</x:f>
        <x:v>31</x:v>
      </x:c>
      <x:c r="K9" s="91" t="n">
        <x:f>DATE(YEAR(K$5),MONTH(K$5)+1,1)-K$5</x:f>
        <x:v>31</x:v>
      </x:c>
      <x:c r="L9" s="91" t="n">
        <x:f>DATE(YEAR(L$5),MONTH(L$5)+1,1)-L$5</x:f>
        <x:v>30</x:v>
      </x:c>
      <x:c r="M9" s="91" t="n">
        <x:f>DATE(YEAR(M$5),MONTH(M$5)+1,1)-M$5</x:f>
        <x:v>31</x:v>
      </x:c>
      <x:c r="N9" s="91" t="n">
        <x:f>DATE(YEAR(N$5),MONTH(N$5)+1,1)-N$5</x:f>
        <x:v>30</x:v>
      </x:c>
      <x:c r="O9" s="91" t="n">
        <x:f>DATE(YEAR(O$5),MONTH(O$5)+1,1)-O$5</x:f>
        <x:v>31</x:v>
      </x:c>
      <x:c r="P9" s="91" t="n">
        <x:f>SUM(D9:O9)</x:f>
        <x:v>365</x:v>
      </x:c>
    </x:row>
    <x:row r="10">
      <x:c r="C10" s="2" t="str">
        <x:v>Available room nights</x:v>
      </x:c>
      <x:c r="D10" s="91" t="n">
        <x:f>D8*D9</x:f>
        <x:v>3100</x:v>
      </x:c>
      <x:c r="E10" s="91" t="n">
        <x:f>E8*E9</x:f>
        <x:v>2800</x:v>
      </x:c>
      <x:c r="F10" s="91" t="n">
        <x:f>F8*F9</x:f>
        <x:v>3100</x:v>
      </x:c>
      <x:c r="G10" s="91" t="n">
        <x:f>G8*G9</x:f>
        <x:v>3000</x:v>
      </x:c>
      <x:c r="H10" s="91" t="n">
        <x:f>H8*H9</x:f>
        <x:v>3100</x:v>
      </x:c>
      <x:c r="I10" s="91" t="n">
        <x:f>I8*I9</x:f>
        <x:v>3000</x:v>
      </x:c>
      <x:c r="J10" s="91" t="n">
        <x:f>J8*J9</x:f>
        <x:v>3100</x:v>
      </x:c>
      <x:c r="K10" s="91" t="n">
        <x:f>K8*K9</x:f>
        <x:v>3100</x:v>
      </x:c>
      <x:c r="L10" s="91" t="n">
        <x:f>L8*L9</x:f>
        <x:v>3000</x:v>
      </x:c>
      <x:c r="M10" s="91" t="n">
        <x:f>M8*M9</x:f>
        <x:v>3100</x:v>
      </x:c>
      <x:c r="N10" s="91" t="n">
        <x:f>N8*N9</x:f>
        <x:v>3000</x:v>
      </x:c>
      <x:c r="O10" s="91" t="n">
        <x:f>O8*O9</x:f>
        <x:v>3100</x:v>
      </x:c>
      <x:c r="P10" s="91" t="n">
        <x:f>SUM(D10:O10)</x:f>
        <x:v>36500</x:v>
      </x:c>
    </x:row>
    <x:row r="11">
      <x:c r="C11" s="2" t="str">
        <x:v>Total occupied room nights</x:v>
      </x:c>
      <x:c r="D11" s="110" t="n">
        <x:f>INDEX(Assumptions!$F$8:$F$19,MATCH(D$5,Assumptions!$D$8:$D$19,0))</x:f>
        <x:v>1705</x:v>
      </x:c>
      <x:c r="E11" s="110" t="n">
        <x:f>INDEX(Assumptions!$F$8:$F$19,MATCH(E$5,Assumptions!$D$8:$D$19,0))</x:f>
        <x:v>1624</x:v>
      </x:c>
      <x:c r="F11" s="110" t="n">
        <x:f>INDEX(Assumptions!$F$8:$F$19,MATCH(F$5,Assumptions!$D$8:$D$19,0))</x:f>
        <x:v>2015</x:v>
      </x:c>
      <x:c r="G11" s="110" t="n">
        <x:f>INDEX(Assumptions!$F$8:$F$19,MATCH(G$5,Assumptions!$D$8:$D$19,0))</x:f>
        <x:v>2100</x:v>
      </x:c>
      <x:c r="H11" s="110" t="n">
        <x:f>INDEX(Assumptions!$F$8:$F$19,MATCH(H$5,Assumptions!$D$8:$D$19,0))</x:f>
        <x:v>2294</x:v>
      </x:c>
      <x:c r="I11" s="110" t="n">
        <x:f>INDEX(Assumptions!$F$8:$F$19,MATCH(I$5,Assumptions!$D$8:$D$19,0))</x:f>
        <x:v>2340</x:v>
      </x:c>
      <x:c r="J11" s="110" t="n">
        <x:f>INDEX(Assumptions!$F$8:$F$19,MATCH(J$5,Assumptions!$D$8:$D$19,0))</x:f>
        <x:v>2604</x:v>
      </x:c>
      <x:c r="K11" s="110" t="n">
        <x:f>INDEX(Assumptions!$F$8:$F$19,MATCH(K$5,Assumptions!$D$8:$D$19,0))</x:f>
        <x:v>2542</x:v>
      </x:c>
      <x:c r="L11" s="110" t="n">
        <x:f>INDEX(Assumptions!$F$8:$F$19,MATCH(L$5,Assumptions!$D$8:$D$19,0))</x:f>
        <x:v>2190</x:v>
      </x:c>
      <x:c r="M11" s="110" t="n">
        <x:f>INDEX(Assumptions!$F$8:$F$19,MATCH(M$5,Assumptions!$D$8:$D$19,0))</x:f>
        <x:v>2201</x:v>
      </x:c>
      <x:c r="N11" s="110" t="n">
        <x:f>INDEX(Assumptions!$F$8:$F$19,MATCH(N$5,Assumptions!$D$8:$D$19,0))</x:f>
        <x:v>1830</x:v>
      </x:c>
      <x:c r="O11" s="110" t="n">
        <x:f>INDEX(Assumptions!$F$8:$F$19,MATCH(O$5,Assumptions!$D$8:$D$19,0))</x:f>
        <x:v>1829</x:v>
      </x:c>
      <x:c r="P11" s="91" t="n">
        <x:f>SUM(D11:O11)</x:f>
        <x:v>25274</x:v>
      </x:c>
    </x:row>
    <x:row r="12">
      <x:c r="C12" s="103" t="str">
        <x:v>Occupancy</x:v>
      </x:c>
      <x:c r="D12" s="104" t="n">
        <x:f>D11/D10</x:f>
        <x:v>0.55</x:v>
      </x:c>
      <x:c r="E12" s="104" t="n">
        <x:f>E11/E10</x:f>
        <x:v>0.58</x:v>
      </x:c>
      <x:c r="F12" s="104" t="n">
        <x:f>F11/F10</x:f>
        <x:v>0.65</x:v>
      </x:c>
      <x:c r="G12" s="104" t="n">
        <x:f>G11/G10</x:f>
        <x:v>0.7</x:v>
      </x:c>
      <x:c r="H12" s="104" t="n">
        <x:f>H11/H10</x:f>
        <x:v>0.74</x:v>
      </x:c>
      <x:c r="I12" s="104" t="n">
        <x:f>I11/I10</x:f>
        <x:v>0.78</x:v>
      </x:c>
      <x:c r="J12" s="104" t="n">
        <x:f>J11/J10</x:f>
        <x:v>0.84</x:v>
      </x:c>
      <x:c r="K12" s="104" t="n">
        <x:f>K11/K10</x:f>
        <x:v>0.82</x:v>
      </x:c>
      <x:c r="L12" s="104" t="n">
        <x:f>L11/L10</x:f>
        <x:v>0.73</x:v>
      </x:c>
      <x:c r="M12" s="104" t="n">
        <x:f>M11/M10</x:f>
        <x:v>0.71</x:v>
      </x:c>
      <x:c r="N12" s="104" t="n">
        <x:f>N11/N10</x:f>
        <x:v>0.61</x:v>
      </x:c>
      <x:c r="O12" s="104" t="n">
        <x:f>O11/O10</x:f>
        <x:v>0.59</x:v>
      </x:c>
      <x:c r="P12" s="104" t="n">
        <x:f>P11/P10</x:f>
        <x:v>0.6924383561643835</x:v>
      </x:c>
    </x:row>
    <x:row r="13">
      <x:c r="C13" s="103" t="str">
        <x:v>Corporate share</x:v>
      </x:c>
      <x:c r="D13" s="111" t="n">
        <x:f>INDEX(Assumptions!$G$8:$G$19,MATCH(D$5,Assumptions!$D$8:$D$19,0))</x:f>
        <x:v>0.3</x:v>
      </x:c>
      <x:c r="E13" s="111" t="n">
        <x:f>INDEX(Assumptions!$G$8:$G$19,MATCH(E$5,Assumptions!$D$8:$D$19,0))</x:f>
        <x:v>0.31</x:v>
      </x:c>
      <x:c r="F13" s="111" t="n">
        <x:f>INDEX(Assumptions!$G$8:$G$19,MATCH(F$5,Assumptions!$D$8:$D$19,0))</x:f>
        <x:v>0.32</x:v>
      </x:c>
      <x:c r="G13" s="111" t="n">
        <x:f>INDEX(Assumptions!$G$8:$G$19,MATCH(G$5,Assumptions!$D$8:$D$19,0))</x:f>
        <x:v>0.34</x:v>
      </x:c>
      <x:c r="H13" s="111" t="n">
        <x:f>INDEX(Assumptions!$G$8:$G$19,MATCH(H$5,Assumptions!$D$8:$D$19,0))</x:f>
        <x:v>0.35</x:v>
      </x:c>
      <x:c r="I13" s="111" t="n">
        <x:f>INDEX(Assumptions!$G$8:$G$19,MATCH(I$5,Assumptions!$D$8:$D$19,0))</x:f>
        <x:v>0.36</x:v>
      </x:c>
      <x:c r="J13" s="111" t="n">
        <x:f>INDEX(Assumptions!$G$8:$G$19,MATCH(J$5,Assumptions!$D$8:$D$19,0))</x:f>
        <x:v>0.38</x:v>
      </x:c>
      <x:c r="K13" s="111" t="n">
        <x:f>INDEX(Assumptions!$G$8:$G$19,MATCH(K$5,Assumptions!$D$8:$D$19,0))</x:f>
        <x:v>0.39</x:v>
      </x:c>
      <x:c r="L13" s="111" t="n">
        <x:f>INDEX(Assumptions!$G$8:$G$19,MATCH(L$5,Assumptions!$D$8:$D$19,0))</x:f>
        <x:v>0.4</x:v>
      </x:c>
      <x:c r="M13" s="111" t="n">
        <x:f>INDEX(Assumptions!$G$8:$G$19,MATCH(M$5,Assumptions!$D$8:$D$19,0))</x:f>
        <x:v>0.38</x:v>
      </x:c>
      <x:c r="N13" s="111" t="n">
        <x:f>INDEX(Assumptions!$G$8:$G$19,MATCH(N$5,Assumptions!$D$8:$D$19,0))</x:f>
        <x:v>0.34</x:v>
      </x:c>
      <x:c r="O13" s="111" t="n">
        <x:f>INDEX(Assumptions!$G$8:$G$19,MATCH(O$5,Assumptions!$D$8:$D$19,0))</x:f>
        <x:v>0.32</x:v>
      </x:c>
      <x:c r="P13" s="104" t="n">
        <x:f>P15/P11</x:f>
        <x:v>0.3529239534699692</x:v>
      </x:c>
    </x:row>
    <x:row r="14">
      <x:c r="C14" s="2" t="str">
        <x:v>Retail room nights</x:v>
      </x:c>
      <x:c r="D14" s="94" t="n">
        <x:f>D11-D15</x:f>
        <x:v>1193.5</x:v>
      </x:c>
      <x:c r="E14" s="94" t="n">
        <x:f>E11-E15</x:f>
        <x:v>1120.56</x:v>
      </x:c>
      <x:c r="F14" s="94" t="n">
        <x:f>F11-F15</x:f>
        <x:v>1370.1999999999998</x:v>
      </x:c>
      <x:c r="G14" s="94" t="n">
        <x:f>G11-G15</x:f>
        <x:v>1386</x:v>
      </x:c>
      <x:c r="H14" s="94" t="n">
        <x:f>H11-H15</x:f>
        <x:v>1491.1</x:v>
      </x:c>
      <x:c r="I14" s="94" t="n">
        <x:f>I11-I15</x:f>
        <x:v>1497.6</x:v>
      </x:c>
      <x:c r="J14" s="94" t="n">
        <x:f>J11-J15</x:f>
        <x:v>1614.48</x:v>
      </x:c>
      <x:c r="K14" s="94" t="n">
        <x:f>K11-K15</x:f>
        <x:v>1550.62</x:v>
      </x:c>
      <x:c r="L14" s="94" t="n">
        <x:f>L11-L15</x:f>
        <x:v>1314</x:v>
      </x:c>
      <x:c r="M14" s="94" t="n">
        <x:f>M11-M15</x:f>
        <x:v>1364.62</x:v>
      </x:c>
      <x:c r="N14" s="94" t="n">
        <x:f>N11-N15</x:f>
        <x:v>1207.8</x:v>
      </x:c>
      <x:c r="O14" s="94" t="n">
        <x:f>O11-O15</x:f>
        <x:v>1243.72</x:v>
      </x:c>
      <x:c r="P14" s="94" t="n">
        <x:f>SUM(D14:O14)</x:f>
        <x:v>16354.199999999999</x:v>
      </x:c>
    </x:row>
    <x:row r="15">
      <x:c r="C15" s="2" t="str">
        <x:v>Corporate room nights</x:v>
      </x:c>
      <x:c r="D15" s="94" t="n">
        <x:f>D11*D13</x:f>
        <x:v>511.5</x:v>
      </x:c>
      <x:c r="E15" s="94" t="n">
        <x:f>E11*E13</x:f>
        <x:v>503.44</x:v>
      </x:c>
      <x:c r="F15" s="94" t="n">
        <x:f>F11*F13</x:f>
        <x:v>644.8000000000001</x:v>
      </x:c>
      <x:c r="G15" s="94" t="n">
        <x:f>G11*G13</x:f>
        <x:v>714</x:v>
      </x:c>
      <x:c r="H15" s="94" t="n">
        <x:f>H11*H13</x:f>
        <x:v>802.9</x:v>
      </x:c>
      <x:c r="I15" s="94" t="n">
        <x:f>I11*I13</x:f>
        <x:v>842.4</x:v>
      </x:c>
      <x:c r="J15" s="94" t="n">
        <x:f>J11*J13</x:f>
        <x:v>989.52</x:v>
      </x:c>
      <x:c r="K15" s="94" t="n">
        <x:f>K11*K13</x:f>
        <x:v>991.38</x:v>
      </x:c>
      <x:c r="L15" s="94" t="n">
        <x:f>L11*L13</x:f>
        <x:v>876</x:v>
      </x:c>
      <x:c r="M15" s="94" t="n">
        <x:f>M11*M13</x:f>
        <x:v>836.38</x:v>
      </x:c>
      <x:c r="N15" s="94" t="n">
        <x:f>N11*N13</x:f>
        <x:v>622.2</x:v>
      </x:c>
      <x:c r="O15" s="94" t="n">
        <x:f>O11*O13</x:f>
        <x:v>585.28</x:v>
      </x:c>
      <x:c r="P15" s="94" t="n">
        <x:f>SUM(D15:O15)</x:f>
        <x:v>8919.800000000001</x:v>
      </x:c>
    </x:row>
    <x:row r="16">
      <x:c r="C16" s="2" t="str">
        <x:v>Retail ADR</x:v>
      </x:c>
      <x:c r="D16" s="112" t="n">
        <x:f>INDEX(Assumptions!$H$8:$H$19,MATCH(D$5,Assumptions!$D$8:$D$19,0))</x:f>
        <x:v>150</x:v>
      </x:c>
      <x:c r="E16" s="112" t="n">
        <x:f>INDEX(Assumptions!$H$8:$H$19,MATCH(E$5,Assumptions!$D$8:$D$19,0))</x:f>
        <x:v>152</x:v>
      </x:c>
      <x:c r="F16" s="112" t="n">
        <x:f>INDEX(Assumptions!$H$8:$H$19,MATCH(F$5,Assumptions!$D$8:$D$19,0))</x:f>
        <x:v>158</x:v>
      </x:c>
      <x:c r="G16" s="112" t="n">
        <x:f>INDEX(Assumptions!$H$8:$H$19,MATCH(G$5,Assumptions!$D$8:$D$19,0))</x:f>
        <x:v>164</x:v>
      </x:c>
      <x:c r="H16" s="112" t="n">
        <x:f>INDEX(Assumptions!$H$8:$H$19,MATCH(H$5,Assumptions!$D$8:$D$19,0))</x:f>
        <x:v>172</x:v>
      </x:c>
      <x:c r="I16" s="112" t="n">
        <x:f>INDEX(Assumptions!$H$8:$H$19,MATCH(I$5,Assumptions!$D$8:$D$19,0))</x:f>
        <x:v>180</x:v>
      </x:c>
      <x:c r="J16" s="112" t="n">
        <x:f>INDEX(Assumptions!$H$8:$H$19,MATCH(J$5,Assumptions!$D$8:$D$19,0))</x:f>
        <x:v>188</x:v>
      </x:c>
      <x:c r="K16" s="112" t="n">
        <x:f>INDEX(Assumptions!$H$8:$H$19,MATCH(K$5,Assumptions!$D$8:$D$19,0))</x:f>
        <x:v>185</x:v>
      </x:c>
      <x:c r="L16" s="112" t="n">
        <x:f>INDEX(Assumptions!$H$8:$H$19,MATCH(L$5,Assumptions!$D$8:$D$19,0))</x:f>
        <x:v>175</x:v>
      </x:c>
      <x:c r="M16" s="112" t="n">
        <x:f>INDEX(Assumptions!$H$8:$H$19,MATCH(M$5,Assumptions!$D$8:$D$19,0))</x:f>
        <x:v>170</x:v>
      </x:c>
      <x:c r="N16" s="112" t="n">
        <x:f>INDEX(Assumptions!$H$8:$H$19,MATCH(N$5,Assumptions!$D$8:$D$19,0))</x:f>
        <x:v>158</x:v>
      </x:c>
      <x:c r="O16" s="112" t="n">
        <x:f>INDEX(Assumptions!$H$8:$H$19,MATCH(O$5,Assumptions!$D$8:$D$19,0))</x:f>
        <x:v>162</x:v>
      </x:c>
      <x:c r="P16" s="96" t="n">
        <x:f>P21/P14</x:f>
        <x:v>168.99758471829867</x:v>
      </x:c>
    </x:row>
    <x:row r="17">
      <x:c r="C17" s="2" t="str">
        <x:v>Corporate ADR</x:v>
      </x:c>
      <x:c r="D17" s="112" t="n">
        <x:f>INDEX(Assumptions!$I$8:$I$19,MATCH(D$5,Assumptions!$D$8:$D$19,0))</x:f>
        <x:v>132</x:v>
      </x:c>
      <x:c r="E17" s="112" t="n">
        <x:f>INDEX(Assumptions!$I$8:$I$19,MATCH(E$5,Assumptions!$D$8:$D$19,0))</x:f>
        <x:v>133</x:v>
      </x:c>
      <x:c r="F17" s="112" t="n">
        <x:f>INDEX(Assumptions!$I$8:$I$19,MATCH(F$5,Assumptions!$D$8:$D$19,0))</x:f>
        <x:v>137</x:v>
      </x:c>
      <x:c r="G17" s="112" t="n">
        <x:f>INDEX(Assumptions!$I$8:$I$19,MATCH(G$5,Assumptions!$D$8:$D$19,0))</x:f>
        <x:v>140</x:v>
      </x:c>
      <x:c r="H17" s="112" t="n">
        <x:f>INDEX(Assumptions!$I$8:$I$19,MATCH(H$5,Assumptions!$D$8:$D$19,0))</x:f>
        <x:v>145</x:v>
      </x:c>
      <x:c r="I17" s="112" t="n">
        <x:f>INDEX(Assumptions!$I$8:$I$19,MATCH(I$5,Assumptions!$D$8:$D$19,0))</x:f>
        <x:v>148</x:v>
      </x:c>
      <x:c r="J17" s="112" t="n">
        <x:f>INDEX(Assumptions!$I$8:$I$19,MATCH(J$5,Assumptions!$D$8:$D$19,0))</x:f>
        <x:v>153</x:v>
      </x:c>
      <x:c r="K17" s="112" t="n">
        <x:f>INDEX(Assumptions!$I$8:$I$19,MATCH(K$5,Assumptions!$D$8:$D$19,0))</x:f>
        <x:v>151</x:v>
      </x:c>
      <x:c r="L17" s="112" t="n">
        <x:f>INDEX(Assumptions!$I$8:$I$19,MATCH(L$5,Assumptions!$D$8:$D$19,0))</x:f>
        <x:v>146</x:v>
      </x:c>
      <x:c r="M17" s="112" t="n">
        <x:f>INDEX(Assumptions!$I$8:$I$19,MATCH(M$5,Assumptions!$D$8:$D$19,0))</x:f>
        <x:v>144</x:v>
      </x:c>
      <x:c r="N17" s="112" t="n">
        <x:f>INDEX(Assumptions!$I$8:$I$19,MATCH(N$5,Assumptions!$D$8:$D$19,0))</x:f>
        <x:v>138</x:v>
      </x:c>
      <x:c r="O17" s="112" t="n">
        <x:f>INDEX(Assumptions!$I$8:$I$19,MATCH(O$5,Assumptions!$D$8:$D$19,0))</x:f>
        <x:v>140</x:v>
      </x:c>
      <x:c r="P17" s="96" t="n">
        <x:f>P22/P15</x:f>
        <x:v>143.62444000986568</x:v>
      </x:c>
    </x:row>
    <x:row r="18"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20" customHeight="1">
      <x:c r="C20" s="86" t="str">
        <x:v>Revenue</x:v>
      </x:c>
      <x:c r="D20" s="87"/>
      <x:c r="E20" s="87"/>
      <x:c r="F20" s="87"/>
      <x:c r="G20" s="87"/>
      <x:c r="H20" s="87"/>
      <x:c r="I20" s="87"/>
      <x:c r="J20" s="87"/>
      <x:c r="K20" s="87"/>
      <x:c r="L20" s="87"/>
      <x:c r="M20" s="87"/>
      <x:c r="N20" s="87"/>
      <x:c r="O20" s="87"/>
      <x:c r="P20" s="89"/>
    </x:row>
    <x:row r="21">
      <x:c r="C21" s="2" t="str">
        <x:v>Retail room revenue</x:v>
      </x:c>
      <x:c r="D21" s="97" t="n">
        <x:f>D14*D16</x:f>
        <x:v>179025</x:v>
      </x:c>
      <x:c r="E21" s="97" t="n">
        <x:f>E14*E16</x:f>
        <x:v>170325.12</x:v>
      </x:c>
      <x:c r="F21" s="97" t="n">
        <x:f>F14*F16</x:f>
        <x:v>216491.59999999998</x:v>
      </x:c>
      <x:c r="G21" s="97" t="n">
        <x:f>G14*G16</x:f>
        <x:v>227304</x:v>
      </x:c>
      <x:c r="H21" s="97" t="n">
        <x:f>H14*H16</x:f>
        <x:v>256469.19999999998</x:v>
      </x:c>
      <x:c r="I21" s="97" t="n">
        <x:f>I14*I16</x:f>
        <x:v>269568</x:v>
      </x:c>
      <x:c r="J21" s="97" t="n">
        <x:f>J14*J16</x:f>
        <x:v>303522.24</x:v>
      </x:c>
      <x:c r="K21" s="97" t="n">
        <x:f>K14*K16</x:f>
        <x:v>286864.69999999995</x:v>
      </x:c>
      <x:c r="L21" s="97" t="n">
        <x:f>L14*L16</x:f>
        <x:v>229950</x:v>
      </x:c>
      <x:c r="M21" s="97" t="n">
        <x:f>M14*M16</x:f>
        <x:v>231985.4</x:v>
      </x:c>
      <x:c r="N21" s="97" t="n">
        <x:f>N14*N16</x:f>
        <x:v>190832.4</x:v>
      </x:c>
      <x:c r="O21" s="97" t="n">
        <x:f>O14*O16</x:f>
        <x:v>201482.64</x:v>
      </x:c>
      <x:c r="P21" s="97" t="n">
        <x:f>SUM(D21:O21)</x:f>
        <x:v>2763820.3</x:v>
      </x:c>
    </x:row>
    <x:row r="22">
      <x:c r="C22" s="2" t="str">
        <x:v>Corporate room revenue</x:v>
      </x:c>
      <x:c r="D22" s="97" t="n">
        <x:f>D15*D17</x:f>
        <x:v>67518</x:v>
      </x:c>
      <x:c r="E22" s="97" t="n">
        <x:f>E15*E17</x:f>
        <x:v>66957.52</x:v>
      </x:c>
      <x:c r="F22" s="97" t="n">
        <x:f>F15*F17</x:f>
        <x:v>88337.6</x:v>
      </x:c>
      <x:c r="G22" s="97" t="n">
        <x:f>G15*G17</x:f>
        <x:v>99960</x:v>
      </x:c>
      <x:c r="H22" s="97" t="n">
        <x:f>H15*H17</x:f>
        <x:v>116420.5</x:v>
      </x:c>
      <x:c r="I22" s="97" t="n">
        <x:f>I15*I17</x:f>
        <x:v>124675.2</x:v>
      </x:c>
      <x:c r="J22" s="97" t="n">
        <x:f>J15*J17</x:f>
        <x:v>151396.56</x:v>
      </x:c>
      <x:c r="K22" s="97" t="n">
        <x:f>K15*K17</x:f>
        <x:v>149698.38</x:v>
      </x:c>
      <x:c r="L22" s="97" t="n">
        <x:f>L15*L17</x:f>
        <x:v>127896</x:v>
      </x:c>
      <x:c r="M22" s="97" t="n">
        <x:f>M15*M17</x:f>
        <x:v>120438.72</x:v>
      </x:c>
      <x:c r="N22" s="97" t="n">
        <x:f>N15*N17</x:f>
        <x:v>85863.6</x:v>
      </x:c>
      <x:c r="O22" s="97" t="n">
        <x:f>O15*O17</x:f>
        <x:v>81939.2</x:v>
      </x:c>
      <x:c r="P22" s="97" t="n">
        <x:f>SUM(D22:O22)</x:f>
        <x:v>1281101.28</x:v>
      </x:c>
    </x:row>
    <x:row r="23">
      <x:c r="C23" s="119" t="str">
        <x:v>Total room revenue</x:v>
      </x:c>
      <x:c r="D23" s="120" t="n">
        <x:f>SUM(D21:D22)</x:f>
        <x:v>246543</x:v>
      </x:c>
      <x:c r="E23" s="120" t="n">
        <x:f>SUM(E21:E22)</x:f>
        <x:v>237282.64</x:v>
      </x:c>
      <x:c r="F23" s="120" t="n">
        <x:f>SUM(F21:F22)</x:f>
        <x:v>304829.19999999995</x:v>
      </x:c>
      <x:c r="G23" s="120" t="n">
        <x:f>SUM(G21:G22)</x:f>
        <x:v>327264</x:v>
      </x:c>
      <x:c r="H23" s="120" t="n">
        <x:f>SUM(H21:H22)</x:f>
        <x:v>372889.69999999995</x:v>
      </x:c>
      <x:c r="I23" s="120" t="n">
        <x:f>SUM(I21:I22)</x:f>
        <x:v>394243.2</x:v>
      </x:c>
      <x:c r="J23" s="120" t="n">
        <x:f>SUM(J21:J22)</x:f>
        <x:v>454918.8</x:v>
      </x:c>
      <x:c r="K23" s="120" t="n">
        <x:f>SUM(K21:K22)</x:f>
        <x:v>436563.07999999996</x:v>
      </x:c>
      <x:c r="L23" s="120" t="n">
        <x:f>SUM(L21:L22)</x:f>
        <x:v>357846</x:v>
      </x:c>
      <x:c r="M23" s="120" t="n">
        <x:f>SUM(M21:M22)</x:f>
        <x:v>352424.12</x:v>
      </x:c>
      <x:c r="N23" s="120" t="n">
        <x:f>SUM(N21:N22)</x:f>
        <x:v>276696</x:v>
      </x:c>
      <x:c r="O23" s="120" t="n">
        <x:f>SUM(O21:O22)</x:f>
        <x:v>283421.84</x:v>
      </x:c>
      <x:c r="P23" s="120" t="n">
        <x:f>SUM(D23:O23)</x:f>
        <x:v>4044921.5799999996</x:v>
      </x:c>
    </x:row>
    <x:row r="24">
      <x:c r="C24" s="103" t="str">
        <x:v>Blended ADR</x:v>
      </x:c>
      <x:c r="D24" s="105" t="n">
        <x:f>D23/D11</x:f>
        <x:v>144.6</x:v>
      </x:c>
      <x:c r="E24" s="105" t="n">
        <x:f>E23/E11</x:f>
        <x:v>146.11</x:v>
      </x:c>
      <x:c r="F24" s="105" t="n">
        <x:f>F23/F11</x:f>
        <x:v>151.27999999999997</x:v>
      </x:c>
      <x:c r="G24" s="105" t="n">
        <x:f>G23/G11</x:f>
        <x:v>155.84</x:v>
      </x:c>
      <x:c r="H24" s="105" t="n">
        <x:f>H23/H11</x:f>
        <x:v>162.54999999999998</x:v>
      </x:c>
      <x:c r="I24" s="105" t="n">
        <x:f>I23/I11</x:f>
        <x:v>168.48000000000002</x:v>
      </x:c>
      <x:c r="J24" s="105" t="n">
        <x:f>J23/J11</x:f>
        <x:v>174.7</x:v>
      </x:c>
      <x:c r="K24" s="105" t="n">
        <x:f>K23/K11</x:f>
        <x:v>171.73999999999998</x:v>
      </x:c>
      <x:c r="L24" s="105" t="n">
        <x:f>L23/L11</x:f>
        <x:v>163.4</x:v>
      </x:c>
      <x:c r="M24" s="105" t="n">
        <x:f>M23/M11</x:f>
        <x:v>160.12</x:v>
      </x:c>
      <x:c r="N24" s="105" t="n">
        <x:f>N23/N11</x:f>
        <x:v>151.2</x:v>
      </x:c>
      <x:c r="O24" s="105" t="n">
        <x:f>O23/O11</x:f>
        <x:v>154.96</x:v>
      </x:c>
      <x:c r="P24" s="105" t="n">
        <x:f>P23/P11</x:f>
        <x:v>160.04279417583285</x:v>
      </x:c>
    </x:row>
    <x:row r="25">
      <x:c r="C25" s="103" t="str">
        <x:v>RevPAR</x:v>
      </x:c>
      <x:c r="D25" s="105" t="n">
        <x:f>D23/D10</x:f>
        <x:v>79.53</x:v>
      </x:c>
      <x:c r="E25" s="105" t="n">
        <x:f>E23/E10</x:f>
        <x:v>84.74380000000001</x:v>
      </x:c>
      <x:c r="F25" s="105" t="n">
        <x:f>F23/F10</x:f>
        <x:v>98.33199999999998</x:v>
      </x:c>
      <x:c r="G25" s="105" t="n">
        <x:f>G23/G10</x:f>
        <x:v>109.088</x:v>
      </x:c>
      <x:c r="H25" s="105" t="n">
        <x:f>H23/H10</x:f>
        <x:v>120.28699999999999</x:v>
      </x:c>
      <x:c r="I25" s="105" t="n">
        <x:f>I23/I10</x:f>
        <x:v>131.4144</x:v>
      </x:c>
      <x:c r="J25" s="105" t="n">
        <x:f>J23/J10</x:f>
        <x:v>146.748</x:v>
      </x:c>
      <x:c r="K25" s="105" t="n">
        <x:f>K23/K10</x:f>
        <x:v>140.8268</x:v>
      </x:c>
      <x:c r="L25" s="105" t="n">
        <x:f>L23/L10</x:f>
        <x:v>119.282</x:v>
      </x:c>
      <x:c r="M25" s="105" t="n">
        <x:f>M23/M10</x:f>
        <x:v>113.6852</x:v>
      </x:c>
      <x:c r="N25" s="105" t="n">
        <x:f>N23/N10</x:f>
        <x:v>92.232</x:v>
      </x:c>
      <x:c r="O25" s="105" t="n">
        <x:f>O23/O10</x:f>
        <x:v>91.42640000000002</x:v>
      </x:c>
      <x:c r="P25" s="105" t="n">
        <x:f>P23/P10</x:f>
        <x:v>110.81976931506848</x:v>
      </x:c>
    </x:row>
    <x:row r="26"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20" customHeight="1">
      <x:c r="C28" s="86" t="str">
        <x:v>Variable and operating costs</x:v>
      </x:c>
      <x:c r="D28" s="87"/>
      <x:c r="E28" s="87"/>
      <x:c r="F28" s="87"/>
      <x:c r="G28" s="87"/>
      <x:c r="H28" s="87"/>
      <x:c r="I28" s="87"/>
      <x:c r="J28" s="87"/>
      <x:c r="K28" s="87"/>
      <x:c r="L28" s="87"/>
      <x:c r="M28" s="87"/>
      <x:c r="N28" s="87"/>
      <x:c r="O28" s="87"/>
      <x:c r="P28" s="89"/>
    </x:row>
    <x:row r="29">
      <x:c r="C29" s="103" t="str">
        <x:v>Housekeeping hours per occupied room</x:v>
      </x:c>
      <x:c r="D29" s="113" t="n">
        <x:f>INDEX(Assumptions!$J$8:$J$19,MATCH(D$5,Assumptions!$D$8:$D$19,0))</x:f>
        <x:v>0.56</x:v>
      </x:c>
      <x:c r="E29" s="113" t="n">
        <x:f>INDEX(Assumptions!$J$8:$J$19,MATCH(E$5,Assumptions!$D$8:$D$19,0))</x:f>
        <x:v>0.55</x:v>
      </x:c>
      <x:c r="F29" s="113" t="n">
        <x:f>INDEX(Assumptions!$J$8:$J$19,MATCH(F$5,Assumptions!$D$8:$D$19,0))</x:f>
        <x:v>0.54</x:v>
      </x:c>
      <x:c r="G29" s="113" t="n">
        <x:f>INDEX(Assumptions!$J$8:$J$19,MATCH(G$5,Assumptions!$D$8:$D$19,0))</x:f>
        <x:v>0.53</x:v>
      </x:c>
      <x:c r="H29" s="113" t="n">
        <x:f>INDEX(Assumptions!$J$8:$J$19,MATCH(H$5,Assumptions!$D$8:$D$19,0))</x:f>
        <x:v>0.52</x:v>
      </x:c>
      <x:c r="I29" s="113" t="n">
        <x:f>INDEX(Assumptions!$J$8:$J$19,MATCH(I$5,Assumptions!$D$8:$D$19,0))</x:f>
        <x:v>0.51</x:v>
      </x:c>
      <x:c r="J29" s="113" t="n">
        <x:f>INDEX(Assumptions!$J$8:$J$19,MATCH(J$5,Assumptions!$D$8:$D$19,0))</x:f>
        <x:v>0.5</x:v>
      </x:c>
      <x:c r="K29" s="113" t="n">
        <x:f>INDEX(Assumptions!$J$8:$J$19,MATCH(K$5,Assumptions!$D$8:$D$19,0))</x:f>
        <x:v>0.5</x:v>
      </x:c>
      <x:c r="L29" s="113" t="n">
        <x:f>INDEX(Assumptions!$J$8:$J$19,MATCH(L$5,Assumptions!$D$8:$D$19,0))</x:f>
        <x:v>0.52</x:v>
      </x:c>
      <x:c r="M29" s="113" t="n">
        <x:f>INDEX(Assumptions!$J$8:$J$19,MATCH(M$5,Assumptions!$D$8:$D$19,0))</x:f>
        <x:v>0.53</x:v>
      </x:c>
      <x:c r="N29" s="113" t="n">
        <x:f>INDEX(Assumptions!$J$8:$J$19,MATCH(N$5,Assumptions!$D$8:$D$19,0))</x:f>
        <x:v>0.55</x:v>
      </x:c>
      <x:c r="O29" s="113" t="n">
        <x:f>INDEX(Assumptions!$J$8:$J$19,MATCH(O$5,Assumptions!$D$8:$D$19,0))</x:f>
        <x:v>0.56</x:v>
      </x:c>
      <x:c r="P29" s="106" t="n">
        <x:f>P31/P11</x:f>
        <x:v>0.5279912162696843</x:v>
      </x:c>
    </x:row>
    <x:row r="30">
      <x:c r="C30" s="103" t="str">
        <x:v>Loaded housekeeping wage per hour</x:v>
      </x:c>
      <x:c r="D30" s="114" t="n">
        <x:f>INDEX(Assumptions!$K$8:$K$19,MATCH(D$5,Assumptions!$D$8:$D$19,0))</x:f>
        <x:v>22</x:v>
      </x:c>
      <x:c r="E30" s="114" t="n">
        <x:f>INDEX(Assumptions!$K$8:$K$19,MATCH(E$5,Assumptions!$D$8:$D$19,0))</x:f>
        <x:v>22</x:v>
      </x:c>
      <x:c r="F30" s="114" t="n">
        <x:f>INDEX(Assumptions!$K$8:$K$19,MATCH(F$5,Assumptions!$D$8:$D$19,0))</x:f>
        <x:v>22</x:v>
      </x:c>
      <x:c r="G30" s="114" t="n">
        <x:f>INDEX(Assumptions!$K$8:$K$19,MATCH(G$5,Assumptions!$D$8:$D$19,0))</x:f>
        <x:v>22</x:v>
      </x:c>
      <x:c r="H30" s="114" t="n">
        <x:f>INDEX(Assumptions!$K$8:$K$19,MATCH(H$5,Assumptions!$D$8:$D$19,0))</x:f>
        <x:v>22</x:v>
      </x:c>
      <x:c r="I30" s="114" t="n">
        <x:f>INDEX(Assumptions!$K$8:$K$19,MATCH(I$5,Assumptions!$D$8:$D$19,0))</x:f>
        <x:v>22</x:v>
      </x:c>
      <x:c r="J30" s="114" t="n">
        <x:f>INDEX(Assumptions!$K$8:$K$19,MATCH(J$5,Assumptions!$D$8:$D$19,0))</x:f>
        <x:v>22.75</x:v>
      </x:c>
      <x:c r="K30" s="114" t="n">
        <x:f>INDEX(Assumptions!$K$8:$K$19,MATCH(K$5,Assumptions!$D$8:$D$19,0))</x:f>
        <x:v>22.75</x:v>
      </x:c>
      <x:c r="L30" s="114" t="n">
        <x:f>INDEX(Assumptions!$K$8:$K$19,MATCH(L$5,Assumptions!$D$8:$D$19,0))</x:f>
        <x:v>22.75</x:v>
      </x:c>
      <x:c r="M30" s="114" t="n">
        <x:f>INDEX(Assumptions!$K$8:$K$19,MATCH(M$5,Assumptions!$D$8:$D$19,0))</x:f>
        <x:v>22.75</x:v>
      </x:c>
      <x:c r="N30" s="114" t="n">
        <x:f>INDEX(Assumptions!$K$8:$K$19,MATCH(N$5,Assumptions!$D$8:$D$19,0))</x:f>
        <x:v>22.75</x:v>
      </x:c>
      <x:c r="O30" s="114" t="n">
        <x:f>INDEX(Assumptions!$K$8:$K$19,MATCH(O$5,Assumptions!$D$8:$D$19,0))</x:f>
        <x:v>22.75</x:v>
      </x:c>
      <x:c r="P30" s="105" t="n">
        <x:f>P32/P31</x:f>
        <x:v>22.388311432842873</x:v>
      </x:c>
    </x:row>
    <x:row r="31">
      <x:c r="C31" s="2" t="str">
        <x:v>Housekeeping hours</x:v>
      </x:c>
      <x:c r="D31" s="94" t="n">
        <x:f>D11*D29</x:f>
        <x:v>954.8000000000001</x:v>
      </x:c>
      <x:c r="E31" s="94" t="n">
        <x:f>E11*E29</x:f>
        <x:v>893.2</x:v>
      </x:c>
      <x:c r="F31" s="94" t="n">
        <x:f>F11*F29</x:f>
        <x:v>1088.1000000000001</x:v>
      </x:c>
      <x:c r="G31" s="94" t="n">
        <x:f>G11*G29</x:f>
        <x:v>1113</x:v>
      </x:c>
      <x:c r="H31" s="94" t="n">
        <x:f>H11*H29</x:f>
        <x:v>1192.88</x:v>
      </x:c>
      <x:c r="I31" s="94" t="n">
        <x:f>I11*I29</x:f>
        <x:v>1193.4</x:v>
      </x:c>
      <x:c r="J31" s="94" t="n">
        <x:f>J11*J29</x:f>
        <x:v>1302</x:v>
      </x:c>
      <x:c r="K31" s="94" t="n">
        <x:f>K11*K29</x:f>
        <x:v>1271</x:v>
      </x:c>
      <x:c r="L31" s="94" t="n">
        <x:f>L11*L29</x:f>
        <x:v>1138.8</x:v>
      </x:c>
      <x:c r="M31" s="94" t="n">
        <x:f>M11*M29</x:f>
        <x:v>1166.53</x:v>
      </x:c>
      <x:c r="N31" s="94" t="n">
        <x:f>N11*N29</x:f>
        <x:v>1006.5000000000001</x:v>
      </x:c>
      <x:c r="O31" s="94" t="n">
        <x:f>O11*O29</x:f>
        <x:v>1024.24</x:v>
      </x:c>
      <x:c r="P31" s="94" t="n">
        <x:f>SUM(D31:O31)</x:f>
        <x:v>13344.45</x:v>
      </x:c>
    </x:row>
    <x:row r="32">
      <x:c r="C32" s="2" t="str">
        <x:v>Housekeeping payroll</x:v>
      </x:c>
      <x:c r="D32" s="97" t="n">
        <x:f>D31*D30</x:f>
        <x:v>21005.600000000002</x:v>
      </x:c>
      <x:c r="E32" s="97" t="n">
        <x:f>E31*E30</x:f>
        <x:v>19650.4</x:v>
      </x:c>
      <x:c r="F32" s="97" t="n">
        <x:f>F31*F30</x:f>
        <x:v>23938.200000000004</x:v>
      </x:c>
      <x:c r="G32" s="97" t="n">
        <x:f>G31*G30</x:f>
        <x:v>24486</x:v>
      </x:c>
      <x:c r="H32" s="97" t="n">
        <x:f>H31*H30</x:f>
        <x:v>26243.36</x:v>
      </x:c>
      <x:c r="I32" s="97" t="n">
        <x:f>I31*I30</x:f>
        <x:v>26254.800000000003</x:v>
      </x:c>
      <x:c r="J32" s="97" t="n">
        <x:f>J31*J30</x:f>
        <x:v>29620.5</x:v>
      </x:c>
      <x:c r="K32" s="97" t="n">
        <x:f>K31*K30</x:f>
        <x:v>28915.25</x:v>
      </x:c>
      <x:c r="L32" s="97" t="n">
        <x:f>L31*L30</x:f>
        <x:v>25907.7</x:v>
      </x:c>
      <x:c r="M32" s="97" t="n">
        <x:f>M31*M30</x:f>
        <x:v>26538.5575</x:v>
      </x:c>
      <x:c r="N32" s="97" t="n">
        <x:f>N31*N30</x:f>
        <x:v>22897.875000000004</x:v>
      </x:c>
      <x:c r="O32" s="97" t="n">
        <x:f>O31*O30</x:f>
        <x:v>23301.46</x:v>
      </x:c>
      <x:c r="P32" s="97" t="n">
        <x:f>SUM(D32:O32)</x:f>
        <x:v>298759.7025000001</x:v>
      </x:c>
    </x:row>
    <x:row r="33">
      <x:c r="C33" s="103" t="str">
        <x:v>Guest-service cost per occupied room</x:v>
      </x:c>
      <x:c r="D33" s="114" t="n">
        <x:f>INDEX(Assumptions!$L$8:$L$19,MATCH(D$5,Assumptions!$D$8:$D$19,0))</x:f>
        <x:v>18.5</x:v>
      </x:c>
      <x:c r="E33" s="114" t="n">
        <x:f>INDEX(Assumptions!$L$8:$L$19,MATCH(E$5,Assumptions!$D$8:$D$19,0))</x:f>
        <x:v>18.7</x:v>
      </x:c>
      <x:c r="F33" s="114" t="n">
        <x:f>INDEX(Assumptions!$L$8:$L$19,MATCH(F$5,Assumptions!$D$8:$D$19,0))</x:f>
        <x:v>19</x:v>
      </x:c>
      <x:c r="G33" s="114" t="n">
        <x:f>INDEX(Assumptions!$L$8:$L$19,MATCH(G$5,Assumptions!$D$8:$D$19,0))</x:f>
        <x:v>19.2</x:v>
      </x:c>
      <x:c r="H33" s="114" t="n">
        <x:f>INDEX(Assumptions!$L$8:$L$19,MATCH(H$5,Assumptions!$D$8:$D$19,0))</x:f>
        <x:v>19.5</x:v>
      </x:c>
      <x:c r="I33" s="114" t="n">
        <x:f>INDEX(Assumptions!$L$8:$L$19,MATCH(I$5,Assumptions!$D$8:$D$19,0))</x:f>
        <x:v>19.8</x:v>
      </x:c>
      <x:c r="J33" s="114" t="n">
        <x:f>INDEX(Assumptions!$L$8:$L$19,MATCH(J$5,Assumptions!$D$8:$D$19,0))</x:f>
        <x:v>20</x:v>
      </x:c>
      <x:c r="K33" s="114" t="n">
        <x:f>INDEX(Assumptions!$L$8:$L$19,MATCH(K$5,Assumptions!$D$8:$D$19,0))</x:f>
        <x:v>20</x:v>
      </x:c>
      <x:c r="L33" s="114" t="n">
        <x:f>INDEX(Assumptions!$L$8:$L$19,MATCH(L$5,Assumptions!$D$8:$D$19,0))</x:f>
        <x:v>19.8</x:v>
      </x:c>
      <x:c r="M33" s="114" t="n">
        <x:f>INDEX(Assumptions!$L$8:$L$19,MATCH(M$5,Assumptions!$D$8:$D$19,0))</x:f>
        <x:v>19.5</x:v>
      </x:c>
      <x:c r="N33" s="114" t="n">
        <x:f>INDEX(Assumptions!$L$8:$L$19,MATCH(N$5,Assumptions!$D$8:$D$19,0))</x:f>
        <x:v>19</x:v>
      </x:c>
      <x:c r="O33" s="114" t="n">
        <x:f>INDEX(Assumptions!$L$8:$L$19,MATCH(O$5,Assumptions!$D$8:$D$19,0))</x:f>
        <x:v>19.2</x:v>
      </x:c>
      <x:c r="P33" s="105" t="n">
        <x:f>P34/P11</x:f>
        <x:v>19.414006488881853</x:v>
      </x:c>
    </x:row>
    <x:row r="34">
      <x:c r="C34" s="103" t="str">
        <x:v>Guest-service expense</x:v>
      </x:c>
      <x:c r="D34" s="107" t="n">
        <x:f>D11*D33</x:f>
        <x:v>31542.5</x:v>
      </x:c>
      <x:c r="E34" s="107" t="n">
        <x:f>E11*E33</x:f>
        <x:v>30368.8</x:v>
      </x:c>
      <x:c r="F34" s="107" t="n">
        <x:f>F11*F33</x:f>
        <x:v>38285</x:v>
      </x:c>
      <x:c r="G34" s="107" t="n">
        <x:f>G11*G33</x:f>
        <x:v>40320</x:v>
      </x:c>
      <x:c r="H34" s="107" t="n">
        <x:f>H11*H33</x:f>
        <x:v>44733</x:v>
      </x:c>
      <x:c r="I34" s="107" t="n">
        <x:f>I11*I33</x:f>
        <x:v>46332</x:v>
      </x:c>
      <x:c r="J34" s="107" t="n">
        <x:f>J11*J33</x:f>
        <x:v>52080</x:v>
      </x:c>
      <x:c r="K34" s="107" t="n">
        <x:f>K11*K33</x:f>
        <x:v>50840</x:v>
      </x:c>
      <x:c r="L34" s="107" t="n">
        <x:f>L11*L33</x:f>
        <x:v>43362</x:v>
      </x:c>
      <x:c r="M34" s="107" t="n">
        <x:f>M11*M33</x:f>
        <x:v>42919.5</x:v>
      </x:c>
      <x:c r="N34" s="107" t="n">
        <x:f>N11*N33</x:f>
        <x:v>34770</x:v>
      </x:c>
      <x:c r="O34" s="107" t="n">
        <x:f>O11*O33</x:f>
        <x:v>35116.799999999996</x:v>
      </x:c>
      <x:c r="P34" s="107" t="n">
        <x:f>SUM(D34:O34)</x:f>
        <x:v>490669.6</x:v>
      </x:c>
    </x:row>
    <x:row r="35">
      <x:c r="C35" s="103" t="str">
        <x:v>Distribution fee rate</x:v>
      </x:c>
      <x:c r="D35" s="111" t="n">
        <x:f>INDEX(Assumptions!$M$8:$M$19,MATCH(D$5,Assumptions!$D$8:$D$19,0))</x:f>
        <x:v>0.04</x:v>
      </x:c>
      <x:c r="E35" s="111" t="n">
        <x:f>INDEX(Assumptions!$M$8:$M$19,MATCH(E$5,Assumptions!$D$8:$D$19,0))</x:f>
        <x:v>0.04</x:v>
      </x:c>
      <x:c r="F35" s="111" t="n">
        <x:f>INDEX(Assumptions!$M$8:$M$19,MATCH(F$5,Assumptions!$D$8:$D$19,0))</x:f>
        <x:v>0.04</x:v>
      </x:c>
      <x:c r="G35" s="111" t="n">
        <x:f>INDEX(Assumptions!$M$8:$M$19,MATCH(G$5,Assumptions!$D$8:$D$19,0))</x:f>
        <x:v>0.04</x:v>
      </x:c>
      <x:c r="H35" s="111" t="n">
        <x:f>INDEX(Assumptions!$M$8:$M$19,MATCH(H$5,Assumptions!$D$8:$D$19,0))</x:f>
        <x:v>0.04</x:v>
      </x:c>
      <x:c r="I35" s="111" t="n">
        <x:f>INDEX(Assumptions!$M$8:$M$19,MATCH(I$5,Assumptions!$D$8:$D$19,0))</x:f>
        <x:v>0.04</x:v>
      </x:c>
      <x:c r="J35" s="111" t="n">
        <x:f>INDEX(Assumptions!$M$8:$M$19,MATCH(J$5,Assumptions!$D$8:$D$19,0))</x:f>
        <x:v>0.04</x:v>
      </x:c>
      <x:c r="K35" s="111" t="n">
        <x:f>INDEX(Assumptions!$M$8:$M$19,MATCH(K$5,Assumptions!$D$8:$D$19,0))</x:f>
        <x:v>0.04</x:v>
      </x:c>
      <x:c r="L35" s="111" t="n">
        <x:f>INDEX(Assumptions!$M$8:$M$19,MATCH(L$5,Assumptions!$D$8:$D$19,0))</x:f>
        <x:v>0.04</x:v>
      </x:c>
      <x:c r="M35" s="111" t="n">
        <x:f>INDEX(Assumptions!$M$8:$M$19,MATCH(M$5,Assumptions!$D$8:$D$19,0))</x:f>
        <x:v>0.04</x:v>
      </x:c>
      <x:c r="N35" s="111" t="n">
        <x:f>INDEX(Assumptions!$M$8:$M$19,MATCH(N$5,Assumptions!$D$8:$D$19,0))</x:f>
        <x:v>0.04</x:v>
      </x:c>
      <x:c r="O35" s="111" t="n">
        <x:f>INDEX(Assumptions!$M$8:$M$19,MATCH(O$5,Assumptions!$D$8:$D$19,0))</x:f>
        <x:v>0.04</x:v>
      </x:c>
      <x:c r="P35" s="104" t="n">
        <x:f>P36/P23</x:f>
        <x:v>0.039999999999999994</x:v>
      </x:c>
    </x:row>
    <x:row r="36">
      <x:c r="C36" s="2" t="str">
        <x:v>Distribution and payment expense</x:v>
      </x:c>
      <x:c r="D36" s="97" t="n">
        <x:f>D23*D35</x:f>
        <x:v>9861.72</x:v>
      </x:c>
      <x:c r="E36" s="97" t="n">
        <x:f>E23*E35</x:f>
        <x:v>9491.305600000002</x:v>
      </x:c>
      <x:c r="F36" s="97" t="n">
        <x:f>F23*F35</x:f>
        <x:v>12193.167999999998</x:v>
      </x:c>
      <x:c r="G36" s="97" t="n">
        <x:f>G23*G35</x:f>
        <x:v>13090.56</x:v>
      </x:c>
      <x:c r="H36" s="97" t="n">
        <x:f>H23*H35</x:f>
        <x:v>14915.587999999998</x:v>
      </x:c>
      <x:c r="I36" s="97" t="n">
        <x:f>I23*I35</x:f>
        <x:v>15769.728000000001</x:v>
      </x:c>
      <x:c r="J36" s="97" t="n">
        <x:f>J23*J35</x:f>
        <x:v>18196.752</x:v>
      </x:c>
      <x:c r="K36" s="97" t="n">
        <x:f>K23*K35</x:f>
        <x:v>17462.5232</x:v>
      </x:c>
      <x:c r="L36" s="97" t="n">
        <x:f>L23*L35</x:f>
        <x:v>14313.84</x:v>
      </x:c>
      <x:c r="M36" s="97" t="n">
        <x:f>M23*M35</x:f>
        <x:v>14096.9648</x:v>
      </x:c>
      <x:c r="N36" s="97" t="n">
        <x:f>N23*N35</x:f>
        <x:v>11067.84</x:v>
      </x:c>
      <x:c r="O36" s="97" t="n">
        <x:f>O23*O35</x:f>
        <x:v>11336.8736</x:v>
      </x:c>
      <x:c r="P36" s="97" t="n">
        <x:f>SUM(D36:O36)</x:f>
        <x:v>161796.86319999996</x:v>
      </x:c>
    </x:row>
    <x:row r="37"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20" customHeight="1">
      <x:c r="C39" s="86" t="str">
        <x:v>Fixed costs</x:v>
      </x:c>
      <x:c r="D39" s="87"/>
      <x:c r="E39" s="87"/>
      <x:c r="F39" s="87"/>
      <x:c r="G39" s="87"/>
      <x:c r="H39" s="87"/>
      <x:c r="I39" s="87"/>
      <x:c r="J39" s="87"/>
      <x:c r="K39" s="87"/>
      <x:c r="L39" s="87"/>
      <x:c r="M39" s="87"/>
      <x:c r="N39" s="87"/>
      <x:c r="O39" s="87"/>
      <x:c r="P39" s="89"/>
    </x:row>
    <x:row r="40">
      <x:c r="C40" s="2" t="str">
        <x:v>Fixed staff FTE</x:v>
      </x:c>
      <x:c r="D40" s="115" t="n">
        <x:f>INDEX(Assumptions!$N$8:$N$19,MATCH(D$5,Assumptions!$D$8:$D$19,0))</x:f>
        <x:v>5</x:v>
      </x:c>
      <x:c r="E40" s="115" t="n">
        <x:f>INDEX(Assumptions!$N$8:$N$19,MATCH(E$5,Assumptions!$D$8:$D$19,0))</x:f>
        <x:v>5</x:v>
      </x:c>
      <x:c r="F40" s="115" t="n">
        <x:f>INDEX(Assumptions!$N$8:$N$19,MATCH(F$5,Assumptions!$D$8:$D$19,0))</x:f>
        <x:v>5</x:v>
      </x:c>
      <x:c r="G40" s="115" t="n">
        <x:f>INDEX(Assumptions!$N$8:$N$19,MATCH(G$5,Assumptions!$D$8:$D$19,0))</x:f>
        <x:v>5</x:v>
      </x:c>
      <x:c r="H40" s="115" t="n">
        <x:f>INDEX(Assumptions!$N$8:$N$19,MATCH(H$5,Assumptions!$D$8:$D$19,0))</x:f>
        <x:v>5</x:v>
      </x:c>
      <x:c r="I40" s="115" t="n">
        <x:f>INDEX(Assumptions!$N$8:$N$19,MATCH(I$5,Assumptions!$D$8:$D$19,0))</x:f>
        <x:v>5</x:v>
      </x:c>
      <x:c r="J40" s="115" t="n">
        <x:f>INDEX(Assumptions!$N$8:$N$19,MATCH(J$5,Assumptions!$D$8:$D$19,0))</x:f>
        <x:v>5</x:v>
      </x:c>
      <x:c r="K40" s="115" t="n">
        <x:f>INDEX(Assumptions!$N$8:$N$19,MATCH(K$5,Assumptions!$D$8:$D$19,0))</x:f>
        <x:v>5</x:v>
      </x:c>
      <x:c r="L40" s="115" t="n">
        <x:f>INDEX(Assumptions!$N$8:$N$19,MATCH(L$5,Assumptions!$D$8:$D$19,0))</x:f>
        <x:v>5</x:v>
      </x:c>
      <x:c r="M40" s="115" t="n">
        <x:f>INDEX(Assumptions!$N$8:$N$19,MATCH(M$5,Assumptions!$D$8:$D$19,0))</x:f>
        <x:v>5</x:v>
      </x:c>
      <x:c r="N40" s="115" t="n">
        <x:f>INDEX(Assumptions!$N$8:$N$19,MATCH(N$5,Assumptions!$D$8:$D$19,0))</x:f>
        <x:v>5</x:v>
      </x:c>
      <x:c r="O40" s="115" t="n">
        <x:f>INDEX(Assumptions!$N$8:$N$19,MATCH(O$5,Assumptions!$D$8:$D$19,0))</x:f>
        <x:v>5</x:v>
      </x:c>
      <x:c r="P40" s="102" t="n">
        <x:f>AVERAGE(D40:O40)</x:f>
        <x:v>5</x:v>
      </x:c>
    </x:row>
    <x:row r="41">
      <x:c r="C41" s="2" t="str">
        <x:v>Fixed staff loaded cost per FTE</x:v>
      </x:c>
      <x:c r="D41" s="116" t="n">
        <x:f>INDEX(Assumptions!$O$8:$O$19,MATCH(D$5,Assumptions!$D$8:$D$19,0))</x:f>
        <x:v>6000</x:v>
      </x:c>
      <x:c r="E41" s="116" t="n">
        <x:f>INDEX(Assumptions!$O$8:$O$19,MATCH(E$5,Assumptions!$D$8:$D$19,0))</x:f>
        <x:v>6000</x:v>
      </x:c>
      <x:c r="F41" s="116" t="n">
        <x:f>INDEX(Assumptions!$O$8:$O$19,MATCH(F$5,Assumptions!$D$8:$D$19,0))</x:f>
        <x:v>6000</x:v>
      </x:c>
      <x:c r="G41" s="116" t="n">
        <x:f>INDEX(Assumptions!$O$8:$O$19,MATCH(G$5,Assumptions!$D$8:$D$19,0))</x:f>
        <x:v>6000</x:v>
      </x:c>
      <x:c r="H41" s="116" t="n">
        <x:f>INDEX(Assumptions!$O$8:$O$19,MATCH(H$5,Assumptions!$D$8:$D$19,0))</x:f>
        <x:v>6000</x:v>
      </x:c>
      <x:c r="I41" s="116" t="n">
        <x:f>INDEX(Assumptions!$O$8:$O$19,MATCH(I$5,Assumptions!$D$8:$D$19,0))</x:f>
        <x:v>6000</x:v>
      </x:c>
      <x:c r="J41" s="116" t="n">
        <x:f>INDEX(Assumptions!$O$8:$O$19,MATCH(J$5,Assumptions!$D$8:$D$19,0))</x:f>
        <x:v>6120</x:v>
      </x:c>
      <x:c r="K41" s="116" t="n">
        <x:f>INDEX(Assumptions!$O$8:$O$19,MATCH(K$5,Assumptions!$D$8:$D$19,0))</x:f>
        <x:v>6120</x:v>
      </x:c>
      <x:c r="L41" s="116" t="n">
        <x:f>INDEX(Assumptions!$O$8:$O$19,MATCH(L$5,Assumptions!$D$8:$D$19,0))</x:f>
        <x:v>6120</x:v>
      </x:c>
      <x:c r="M41" s="116" t="n">
        <x:f>INDEX(Assumptions!$O$8:$O$19,MATCH(M$5,Assumptions!$D$8:$D$19,0))</x:f>
        <x:v>6120</x:v>
      </x:c>
      <x:c r="N41" s="116" t="n">
        <x:f>INDEX(Assumptions!$O$8:$O$19,MATCH(N$5,Assumptions!$D$8:$D$19,0))</x:f>
        <x:v>6120</x:v>
      </x:c>
      <x:c r="O41" s="116" t="n">
        <x:f>INDEX(Assumptions!$O$8:$O$19,MATCH(O$5,Assumptions!$D$8:$D$19,0))</x:f>
        <x:v>6120</x:v>
      </x:c>
      <x:c r="P41" s="97" t="n">
        <x:f>P42/SUM(D40:O40)</x:f>
        <x:v>6060</x:v>
      </x:c>
    </x:row>
    <x:row r="42">
      <x:c r="C42" s="2" t="str">
        <x:v>Fixed staff payroll</x:v>
      </x:c>
      <x:c r="D42" s="97" t="n">
        <x:f>D40*D41</x:f>
        <x:v>30000</x:v>
      </x:c>
      <x:c r="E42" s="97" t="n">
        <x:f>E40*E41</x:f>
        <x:v>30000</x:v>
      </x:c>
      <x:c r="F42" s="97" t="n">
        <x:f>F40*F41</x:f>
        <x:v>30000</x:v>
      </x:c>
      <x:c r="G42" s="97" t="n">
        <x:f>G40*G41</x:f>
        <x:v>30000</x:v>
      </x:c>
      <x:c r="H42" s="97" t="n">
        <x:f>H40*H41</x:f>
        <x:v>30000</x:v>
      </x:c>
      <x:c r="I42" s="97" t="n">
        <x:f>I40*I41</x:f>
        <x:v>30000</x:v>
      </x:c>
      <x:c r="J42" s="97" t="n">
        <x:f>J40*J41</x:f>
        <x:v>30600</x:v>
      </x:c>
      <x:c r="K42" s="97" t="n">
        <x:f>K40*K41</x:f>
        <x:v>30600</x:v>
      </x:c>
      <x:c r="L42" s="97" t="n">
        <x:f>L40*L41</x:f>
        <x:v>30600</x:v>
      </x:c>
      <x:c r="M42" s="97" t="n">
        <x:f>M40*M41</x:f>
        <x:v>30600</x:v>
      </x:c>
      <x:c r="N42" s="97" t="n">
        <x:f>N40*N41</x:f>
        <x:v>30600</x:v>
      </x:c>
      <x:c r="O42" s="97" t="n">
        <x:f>O40*O41</x:f>
        <x:v>30600</x:v>
      </x:c>
      <x:c r="P42" s="97" t="n">
        <x:f>SUM(D42:O42)</x:f>
        <x:v>363600</x:v>
      </x:c>
    </x:row>
    <x:row r="43">
      <x:c r="C43" s="2" t="str">
        <x:v>Rent</x:v>
      </x:c>
      <x:c r="D43" s="116" t="n">
        <x:f>INDEX(Assumptions!$P$8:$P$19,MATCH(D$5,Assumptions!$D$8:$D$19,0))</x:f>
        <x:v>78000</x:v>
      </x:c>
      <x:c r="E43" s="116" t="n">
        <x:f>INDEX(Assumptions!$P$8:$P$19,MATCH(E$5,Assumptions!$D$8:$D$19,0))</x:f>
        <x:v>78000</x:v>
      </x:c>
      <x:c r="F43" s="116" t="n">
        <x:f>INDEX(Assumptions!$P$8:$P$19,MATCH(F$5,Assumptions!$D$8:$D$19,0))</x:f>
        <x:v>78000</x:v>
      </x:c>
      <x:c r="G43" s="116" t="n">
        <x:f>INDEX(Assumptions!$P$8:$P$19,MATCH(G$5,Assumptions!$D$8:$D$19,0))</x:f>
        <x:v>78000</x:v>
      </x:c>
      <x:c r="H43" s="116" t="n">
        <x:f>INDEX(Assumptions!$P$8:$P$19,MATCH(H$5,Assumptions!$D$8:$D$19,0))</x:f>
        <x:v>78000</x:v>
      </x:c>
      <x:c r="I43" s="116" t="n">
        <x:f>INDEX(Assumptions!$P$8:$P$19,MATCH(I$5,Assumptions!$D$8:$D$19,0))</x:f>
        <x:v>78000</x:v>
      </x:c>
      <x:c r="J43" s="116" t="n">
        <x:f>INDEX(Assumptions!$P$8:$P$19,MATCH(J$5,Assumptions!$D$8:$D$19,0))</x:f>
        <x:v>78000</x:v>
      </x:c>
      <x:c r="K43" s="116" t="n">
        <x:f>INDEX(Assumptions!$P$8:$P$19,MATCH(K$5,Assumptions!$D$8:$D$19,0))</x:f>
        <x:v>78000</x:v>
      </x:c>
      <x:c r="L43" s="116" t="n">
        <x:f>INDEX(Assumptions!$P$8:$P$19,MATCH(L$5,Assumptions!$D$8:$D$19,0))</x:f>
        <x:v>78000</x:v>
      </x:c>
      <x:c r="M43" s="116" t="n">
        <x:f>INDEX(Assumptions!$P$8:$P$19,MATCH(M$5,Assumptions!$D$8:$D$19,0))</x:f>
        <x:v>78000</x:v>
      </x:c>
      <x:c r="N43" s="116" t="n">
        <x:f>INDEX(Assumptions!$P$8:$P$19,MATCH(N$5,Assumptions!$D$8:$D$19,0))</x:f>
        <x:v>78000</x:v>
      </x:c>
      <x:c r="O43" s="116" t="n">
        <x:f>INDEX(Assumptions!$P$8:$P$19,MATCH(O$5,Assumptions!$D$8:$D$19,0))</x:f>
        <x:v>78000</x:v>
      </x:c>
      <x:c r="P43" s="97" t="n">
        <x:f>SUM(D43:O43)</x:f>
        <x:v>936000</x:v>
      </x:c>
    </x:row>
    <x:row r="44">
      <x:c r="C44" s="2" t="str">
        <x:v>Property overhead</x:v>
      </x:c>
      <x:c r="D44" s="116" t="n">
        <x:f>INDEX(Assumptions!$Q$8:$Q$19,MATCH(D$5,Assumptions!$D$8:$D$19,0))</x:f>
        <x:v>28000</x:v>
      </x:c>
      <x:c r="E44" s="116" t="n">
        <x:f>INDEX(Assumptions!$Q$8:$Q$19,MATCH(E$5,Assumptions!$D$8:$D$19,0))</x:f>
        <x:v>28100</x:v>
      </x:c>
      <x:c r="F44" s="116" t="n">
        <x:f>INDEX(Assumptions!$Q$8:$Q$19,MATCH(F$5,Assumptions!$D$8:$D$19,0))</x:f>
        <x:v>28500</x:v>
      </x:c>
      <x:c r="G44" s="116" t="n">
        <x:f>INDEX(Assumptions!$Q$8:$Q$19,MATCH(G$5,Assumptions!$D$8:$D$19,0))</x:f>
        <x:v>28600</x:v>
      </x:c>
      <x:c r="H44" s="116" t="n">
        <x:f>INDEX(Assumptions!$Q$8:$Q$19,MATCH(H$5,Assumptions!$D$8:$D$19,0))</x:f>
        <x:v>28900</x:v>
      </x:c>
      <x:c r="I44" s="116" t="n">
        <x:f>INDEX(Assumptions!$Q$8:$Q$19,MATCH(I$5,Assumptions!$D$8:$D$19,0))</x:f>
        <x:v>29200</x:v>
      </x:c>
      <x:c r="J44" s="116" t="n">
        <x:f>INDEX(Assumptions!$Q$8:$Q$19,MATCH(J$5,Assumptions!$D$8:$D$19,0))</x:f>
        <x:v>29800</x:v>
      </x:c>
      <x:c r="K44" s="116" t="n">
        <x:f>INDEX(Assumptions!$Q$8:$Q$19,MATCH(K$5,Assumptions!$D$8:$D$19,0))</x:f>
        <x:v>30000</x:v>
      </x:c>
      <x:c r="L44" s="116" t="n">
        <x:f>INDEX(Assumptions!$Q$8:$Q$19,MATCH(L$5,Assumptions!$D$8:$D$19,0))</x:f>
        <x:v>29400</x:v>
      </x:c>
      <x:c r="M44" s="116" t="n">
        <x:f>INDEX(Assumptions!$Q$8:$Q$19,MATCH(M$5,Assumptions!$D$8:$D$19,0))</x:f>
        <x:v>29100</x:v>
      </x:c>
      <x:c r="N44" s="116" t="n">
        <x:f>INDEX(Assumptions!$Q$8:$Q$19,MATCH(N$5,Assumptions!$D$8:$D$19,0))</x:f>
        <x:v>28700</x:v>
      </x:c>
      <x:c r="O44" s="116" t="n">
        <x:f>INDEX(Assumptions!$Q$8:$Q$19,MATCH(O$5,Assumptions!$D$8:$D$19,0))</x:f>
        <x:v>29000</x:v>
      </x:c>
      <x:c r="P44" s="97" t="n">
        <x:f>SUM(D44:O44)</x:f>
        <x:v>347300</x:v>
      </x:c>
    </x:row>
    <x:row r="45">
      <x:c r="C45" s="2" t="str">
        <x:v>Marketing</x:v>
      </x:c>
      <x:c r="D45" s="116" t="n">
        <x:f>INDEX(Assumptions!$R$8:$R$19,MATCH(D$5,Assumptions!$D$8:$D$19,0))</x:f>
        <x:v>10000</x:v>
      </x:c>
      <x:c r="E45" s="116" t="n">
        <x:f>INDEX(Assumptions!$R$8:$R$19,MATCH(E$5,Assumptions!$D$8:$D$19,0))</x:f>
        <x:v>9000</x:v>
      </x:c>
      <x:c r="F45" s="116" t="n">
        <x:f>INDEX(Assumptions!$R$8:$R$19,MATCH(F$5,Assumptions!$D$8:$D$19,0))</x:f>
        <x:v>11000</x:v>
      </x:c>
      <x:c r="G45" s="116" t="n">
        <x:f>INDEX(Assumptions!$R$8:$R$19,MATCH(G$5,Assumptions!$D$8:$D$19,0))</x:f>
        <x:v>13000</x:v>
      </x:c>
      <x:c r="H45" s="116" t="n">
        <x:f>INDEX(Assumptions!$R$8:$R$19,MATCH(H$5,Assumptions!$D$8:$D$19,0))</x:f>
        <x:v>14000</x:v>
      </x:c>
      <x:c r="I45" s="116" t="n">
        <x:f>INDEX(Assumptions!$R$8:$R$19,MATCH(I$5,Assumptions!$D$8:$D$19,0))</x:f>
        <x:v>24000</x:v>
      </x:c>
      <x:c r="J45" s="116" t="n">
        <x:f>INDEX(Assumptions!$R$8:$R$19,MATCH(J$5,Assumptions!$D$8:$D$19,0))</x:f>
        <x:v>18000</x:v>
      </x:c>
      <x:c r="K45" s="116" t="n">
        <x:f>INDEX(Assumptions!$R$8:$R$19,MATCH(K$5,Assumptions!$D$8:$D$19,0))</x:f>
        <x:v>15000</x:v>
      </x:c>
      <x:c r="L45" s="116" t="n">
        <x:f>INDEX(Assumptions!$R$8:$R$19,MATCH(L$5,Assumptions!$D$8:$D$19,0))</x:f>
        <x:v>12000</x:v>
      </x:c>
      <x:c r="M45" s="116" t="n">
        <x:f>INDEX(Assumptions!$R$8:$R$19,MATCH(M$5,Assumptions!$D$8:$D$19,0))</x:f>
        <x:v>13000</x:v>
      </x:c>
      <x:c r="N45" s="116" t="n">
        <x:f>INDEX(Assumptions!$R$8:$R$19,MATCH(N$5,Assumptions!$D$8:$D$19,0))</x:f>
        <x:v>12000</x:v>
      </x:c>
      <x:c r="O45" s="116" t="n">
        <x:f>INDEX(Assumptions!$R$8:$R$19,MATCH(O$5,Assumptions!$D$8:$D$19,0))</x:f>
        <x:v>16000</x:v>
      </x:c>
      <x:c r="P45" s="97" t="n">
        <x:f>SUM(D45:O45)</x:f>
        <x:v>167000</x:v>
      </x:c>
    </x:row>
    <x:row r="46"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20" customHeight="1">
      <x:c r="C48" s="86" t="str">
        <x:v>Profitability</x:v>
      </x:c>
      <x:c r="D48" s="87"/>
      <x:c r="E48" s="87"/>
      <x:c r="F48" s="87"/>
      <x:c r="G48" s="87"/>
      <x:c r="H48" s="87"/>
      <x:c r="I48" s="87"/>
      <x:c r="J48" s="87"/>
      <x:c r="K48" s="87"/>
      <x:c r="L48" s="87"/>
      <x:c r="M48" s="87"/>
      <x:c r="N48" s="87"/>
      <x:c r="O48" s="87"/>
      <x:c r="P48" s="89"/>
    </x:row>
    <x:row r="49">
      <x:c r="C49" s="119" t="str">
        <x:v>Total operating costs</x:v>
      </x:c>
      <x:c r="D49" s="120" t="n">
        <x:f>SUM(D32,D34,D36,D42:D45)</x:f>
        <x:v>208409.82</x:v>
      </x:c>
      <x:c r="E49" s="120" t="n">
        <x:f>SUM(E32,E34,E36,E42:E45)</x:f>
        <x:v>204610.5056</x:v>
      </x:c>
      <x:c r="F49" s="120" t="n">
        <x:f>SUM(F32,F34,F36,F42:F45)</x:f>
        <x:v>221916.36800000002</x:v>
      </x:c>
      <x:c r="G49" s="120" t="n">
        <x:f>SUM(G32,G34,G36,G42:G45)</x:f>
        <x:v>227496.56</x:v>
      </x:c>
      <x:c r="H49" s="120" t="n">
        <x:f>SUM(H32,H34,H36,H42:H45)</x:f>
        <x:v>236791.948</x:v>
      </x:c>
      <x:c r="I49" s="120" t="n">
        <x:f>SUM(I32,I34,I36,I42:I45)</x:f>
        <x:v>249556.528</x:v>
      </x:c>
      <x:c r="J49" s="120" t="n">
        <x:f>SUM(J32,J34,J36,J42:J45)</x:f>
        <x:v>256297.252</x:v>
      </x:c>
      <x:c r="K49" s="120" t="n">
        <x:f>SUM(K32,K34,K36,K42:K45)</x:f>
        <x:v>250817.7732</x:v>
      </x:c>
      <x:c r="L49" s="120" t="n">
        <x:f>SUM(L32,L34,L36,L42:L45)</x:f>
        <x:v>233583.53999999998</x:v>
      </x:c>
      <x:c r="M49" s="120" t="n">
        <x:f>SUM(M32,M34,M36,M42:M45)</x:f>
        <x:v>234255.0223</x:v>
      </x:c>
      <x:c r="N49" s="120" t="n">
        <x:f>SUM(N32,N34,N36,N42:N45)</x:f>
        <x:v>218035.715</x:v>
      </x:c>
      <x:c r="O49" s="120" t="n">
        <x:f>SUM(O32,O34,O36,O42:O45)</x:f>
        <x:v>223355.1336</x:v>
      </x:c>
      <x:c r="P49" s="120" t="n">
        <x:f>SUM(D49:O49)</x:f>
        <x:v>2765126.1657</x:v>
      </x:c>
    </x:row>
    <x:row r="50">
      <x:c r="C50" s="121" t="str">
        <x:v>Property operating contribution</x:v>
      </x:c>
      <x:c r="D50" s="122" t="n">
        <x:f>D23-D49</x:f>
        <x:v>38133.17999999999</x:v>
      </x:c>
      <x:c r="E50" s="122" t="n">
        <x:f>E23-E49</x:f>
        <x:v>32672.13440000001</x:v>
      </x:c>
      <x:c r="F50" s="122" t="n">
        <x:f>F23-F49</x:f>
        <x:v>82912.83199999994</x:v>
      </x:c>
      <x:c r="G50" s="122" t="n">
        <x:f>G23-G49</x:f>
        <x:v>99767.44</x:v>
      </x:c>
      <x:c r="H50" s="122" t="n">
        <x:f>H23-H49</x:f>
        <x:v>136097.75199999995</x:v>
      </x:c>
      <x:c r="I50" s="122" t="n">
        <x:f>I23-I49</x:f>
        <x:v>144686.67200000002</x:v>
      </x:c>
      <x:c r="J50" s="122" t="n">
        <x:f>J23-J49</x:f>
        <x:v>198621.54799999998</x:v>
      </x:c>
      <x:c r="K50" s="122" t="n">
        <x:f>K23-K49</x:f>
        <x:v>185745.30679999996</x:v>
      </x:c>
      <x:c r="L50" s="122" t="n">
        <x:f>L23-L49</x:f>
        <x:v>124262.46000000002</x:v>
      </x:c>
      <x:c r="M50" s="122" t="n">
        <x:f>M23-M49</x:f>
        <x:v>118169.09769999998</x:v>
      </x:c>
      <x:c r="N50" s="122" t="n">
        <x:f>N23-N49</x:f>
        <x:v>58660.285</x:v>
      </x:c>
      <x:c r="O50" s="122" t="n">
        <x:f>O23-O49</x:f>
        <x:v>60066.706400000025</x:v>
      </x:c>
      <x:c r="P50" s="122" t="n">
        <x:f>SUM(D50:O50)</x:f>
        <x:v>1279795.4142999998</x:v>
      </x:c>
    </x:row>
    <x:row r="51">
      <x:c r="C51" s="108" t="str">
        <x:v>Contribution margin</x:v>
      </x:c>
      <x:c r="D51" s="109" t="n">
        <x:f>D50/D23</x:f>
        <x:v>0.15467151774741117</x:v>
      </x:c>
      <x:c r="E51" s="109" t="n">
        <x:f>E50/E23</x:f>
        <x:v>0.13769289822466577</x:v>
      </x:c>
      <x:c r="F51" s="109" t="n">
        <x:f>F50/F23</x:f>
        <x:v>0.27199766951460014</x:v>
      </x:c>
      <x:c r="G51" s="109" t="n">
        <x:f>G50/G23</x:f>
        <x:v>0.3048530849711548</x:v>
      </x:c>
      <x:c r="H51" s="109" t="n">
        <x:f>H50/H23</x:f>
        <x:v>0.3649812585330192</x:v>
      </x:c>
      <x:c r="I51" s="109" t="n">
        <x:f>I50/I23</x:f>
        <x:v>0.36699852273926353</x:v>
      </x:c>
      <x:c r="J51" s="109" t="n">
        <x:f>J50/J23</x:f>
        <x:v>0.4366087926021083</x:v>
      </x:c>
      <x:c r="K51" s="109" t="n">
        <x:f>K50/K23</x:f>
        <x:v>0.42547186262292264</x:v>
      </x:c>
      <x:c r="L51" s="109" t="n">
        <x:f>L50/L23</x:f>
        <x:v>0.34725121979846085</x:v>
      </x:c>
      <x:c r="M51" s="109" t="n">
        <x:f>M50/M23</x:f>
        <x:v>0.3353036611115039</x:v>
      </x:c>
      <x:c r="N51" s="109" t="n">
        <x:f>N50/N23</x:f>
        <x:v>0.21200264911672018</x:v>
      </x:c>
      <x:c r="O51" s="109" t="n">
        <x:f>O50/O23</x:f>
        <x:v>0.2119339370600375</x:v>
      </x:c>
      <x:c r="P51" s="109" t="n">
        <x:f>P50/P23</x:f>
        <x:v>0.3163956059439847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BFBFBF"/>
  </x:sheetPr>
  <x:sheetViews>
    <x:sheetView showGridLines="0" workbookViewId="0"/>
  </x:sheetViews>
  <x:sheetFormatPr defaultRowHeight="15"/>
  <x:cols>
    <x:col min="3" max="3" width="1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2" ht="25" customHeight="1">
      <x:c r="C2" s="3" t="str">
        <x:v>Forecast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>
      <x:c r="C3" s="2"/>
    </x:row>
    <x:row r="4">
      <x:c r="C4" s="2"/>
    </x:row>
    <x:row r="5">
      <x:c r="C5" s="133" t="str">
        <x:v>No forecast output is available in Phase 2.</x:v>
      </x:c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40"/>
    </x:row>
    <x:row r="6">
      <x:c r="C6" s="136"/>
      <x:c r="D6" s="141"/>
      <x:c r="E6" s="141"/>
      <x:c r="F6" s="141"/>
      <x:c r="G6" s="141"/>
      <x:c r="H6" s="141"/>
      <x:c r="I6" s="141"/>
      <x:c r="J6" s="141"/>
      <x:c r="K6" s="141"/>
      <x:c r="L6" s="141"/>
      <x:c r="M6" s="141"/>
      <x:c r="N6" s="142"/>
    </x:row>
    <x:row r="7">
      <x:c r="C7" s="2"/>
    </x:row>
    <x:row r="8">
      <x:c r="C8" s="2"/>
    </x:row>
    <x:row r="9">
      <x:c r="C9" s="38" t="str">
        <x:v>Phase 4 will preserve January–June 2026 as recorded actuals and forecast July–December 2026.</x:v>
      </x:c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</x:row>
    <x:row r="10">
      <x:c r="C10" s="145"/>
      <x:c r="D10" s="145"/>
      <x:c r="E10" s="145"/>
      <x:c r="F10" s="145"/>
      <x:c r="G10" s="145"/>
      <x:c r="H10" s="145"/>
      <x:c r="I10" s="145"/>
      <x:c r="J10" s="145"/>
      <x:c r="K10" s="145"/>
      <x:c r="L10" s="145"/>
      <x:c r="M10" s="145"/>
      <x:c r="N10" s="145"/>
    </x:row>
    <x:row r="11">
      <x:c r="C11" s="2"/>
    </x:row>
    <x:row r="12">
      <x:c r="C12" s="38" t="str">
        <x:v>Base, Upside, and Downside cases will be vertically stacked and will change operating drivers rather than finished results.</x:v>
      </x:c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</x:row>
    <x:row r="13">
      <x:c r="C13" s="145"/>
      <x:c r="D13" s="145"/>
      <x:c r="E13" s="145"/>
      <x:c r="F13" s="145"/>
      <x:c r="G13" s="145"/>
      <x:c r="H13" s="145"/>
      <x:c r="I13" s="145"/>
      <x:c r="J13" s="145"/>
      <x:c r="K13" s="145"/>
      <x:c r="L13" s="145"/>
      <x:c r="M13" s="145"/>
      <x:c r="N13" s="145"/>
    </x:row>
    <x:row r="14">
      <x:c r="C14" s="2"/>
    </x:row>
    <x:row r="15">
      <x:c r="C15" s="38" t="str">
        <x:v>No scenario assumptions, toggles, placeholder tables, or forecast values have been created in this phase.</x:v>
      </x:c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</x:row>
    <x:row r="16">
      <x:c r="C16" s="145"/>
      <x:c r="D16" s="145"/>
      <x:c r="E16" s="145"/>
      <x:c r="F16" s="145"/>
      <x:c r="G16" s="145"/>
      <x:c r="H16" s="145"/>
      <x:c r="I16" s="145"/>
      <x:c r="J16" s="145"/>
      <x:c r="K16" s="145"/>
      <x:c r="L16" s="145"/>
      <x:c r="M16" s="145"/>
      <x:c r="N16" s="145"/>
    </x:row>
  </x:sheetData>
  <x:mergeCells>
    <x:mergeCell ref="C2:N2"/>
    <x:mergeCell ref="C5:N6"/>
    <x:mergeCell ref="C9:N10"/>
    <x:mergeCell ref="C12:N13"/>
    <x:mergeCell ref="C15:N1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BFBFBF"/>
  </x:sheetPr>
  <x:sheetViews>
    <x:sheetView showGridLines="0" workbookViewId="0"/>
  </x:sheetViews>
  <x:sheetFormatPr defaultRowHeight="15"/>
  <x:cols>
    <x:col min="3" max="3" width="1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2" ht="25" customHeight="1">
      <x:c r="C2" s="3" t="str">
        <x:v>Variance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>
      <x:c r="C3" s="2"/>
    </x:row>
    <x:row r="4">
      <x:c r="C4" s="2"/>
    </x:row>
    <x:row r="5">
      <x:c r="C5" s="133" t="str">
        <x:v>Variance analysis will be completed in Phase 3.</x:v>
      </x:c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40"/>
    </x:row>
    <x:row r="6">
      <x:c r="C6" s="136"/>
      <x:c r="D6" s="141"/>
      <x:c r="E6" s="141"/>
      <x:c r="F6" s="141"/>
      <x:c r="G6" s="141"/>
      <x:c r="H6" s="141"/>
      <x:c r="I6" s="141"/>
      <x:c r="J6" s="141"/>
      <x:c r="K6" s="141"/>
      <x:c r="L6" s="141"/>
      <x:c r="M6" s="141"/>
      <x:c r="N6" s="142"/>
    </x:row>
    <x:row r="7">
      <x:c r="C7" s="2"/>
    </x:row>
    <x:row r="8">
      <x:c r="C8" s="2"/>
    </x:row>
    <x:row r="9">
      <x:c r="C9" s="38" t="str">
        <x:v>Phase 3 will compare recorded actuals with the approved budget for matching periods.</x:v>
      </x:c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</x:row>
    <x:row r="10">
      <x:c r="C10" s="145"/>
      <x:c r="D10" s="145"/>
      <x:c r="E10" s="145"/>
      <x:c r="F10" s="145"/>
      <x:c r="G10" s="145"/>
      <x:c r="H10" s="145"/>
      <x:c r="I10" s="145"/>
      <x:c r="J10" s="145"/>
      <x:c r="K10" s="145"/>
      <x:c r="L10" s="145"/>
      <x:c r="M10" s="145"/>
      <x:c r="N10" s="145"/>
    </x:row>
    <x:row r="11">
      <x:c r="C11" s="2"/>
    </x:row>
    <x:row r="12">
      <x:c r="C12" s="38" t="str">
        <x:v>The planned analysis includes revenue volume, customer mix, and rate; housekeeping volume, efficiency, and wage rate; selected expense bridges; and contribution impact.</x:v>
      </x:c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</x:row>
    <x:row r="13">
      <x:c r="C13" s="145"/>
      <x:c r="D13" s="145"/>
      <x:c r="E13" s="145"/>
      <x:c r="F13" s="145"/>
      <x:c r="G13" s="145"/>
      <x:c r="H13" s="145"/>
      <x:c r="I13" s="145"/>
      <x:c r="J13" s="145"/>
      <x:c r="K13" s="145"/>
      <x:c r="L13" s="145"/>
      <x:c r="M13" s="145"/>
      <x:c r="N13" s="145"/>
    </x:row>
    <x:row r="14">
      <x:c r="C14" s="2"/>
    </x:row>
    <x:row r="15">
      <x:c r="C15" s="38" t="str">
        <x:v>Management commentary will distinguish timing, ongoing items, immaterial differences, and issues requiring more evidence. No variance has been calculated here.</x:v>
      </x:c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</x:row>
    <x:row r="16">
      <x:c r="C16" s="145"/>
      <x:c r="D16" s="145"/>
      <x:c r="E16" s="145"/>
      <x:c r="F16" s="145"/>
      <x:c r="G16" s="145"/>
      <x:c r="H16" s="145"/>
      <x:c r="I16" s="145"/>
      <x:c r="J16" s="145"/>
      <x:c r="K16" s="145"/>
      <x:c r="L16" s="145"/>
      <x:c r="M16" s="145"/>
      <x:c r="N16" s="145"/>
    </x:row>
  </x:sheetData>
  <x:mergeCells>
    <x:mergeCell ref="C2:N2"/>
    <x:mergeCell ref="C5:N6"/>
    <x:mergeCell ref="C9:N10"/>
    <x:mergeCell ref="C12:N13"/>
    <x:mergeCell ref="C15:N1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BFBFBF"/>
  </x:sheetPr>
  <x:sheetViews>
    <x:sheetView showGridLines="0" workbookViewId="0"/>
  </x:sheetViews>
  <x:sheetFormatPr defaultRowHeight="15"/>
  <x:cols>
    <x:col min="3" max="3" width="1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2" ht="25" customHeight="1">
      <x:c r="C2" s="3" t="str">
        <x:v>Management review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>
      <x:c r="C3" s="2"/>
    </x:row>
    <x:row r="4">
      <x:c r="C4" s="2"/>
    </x:row>
    <x:row r="5">
      <x:c r="C5" s="133" t="str">
        <x:v>The management-facing review is not available in Phase 2.</x:v>
      </x:c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40"/>
    </x:row>
    <x:row r="6">
      <x:c r="C6" s="136"/>
      <x:c r="D6" s="141"/>
      <x:c r="E6" s="141"/>
      <x:c r="F6" s="141"/>
      <x:c r="G6" s="141"/>
      <x:c r="H6" s="141"/>
      <x:c r="I6" s="141"/>
      <x:c r="J6" s="141"/>
      <x:c r="K6" s="141"/>
      <x:c r="L6" s="141"/>
      <x:c r="M6" s="141"/>
      <x:c r="N6" s="142"/>
    </x:row>
    <x:row r="7">
      <x:c r="C7" s="2"/>
    </x:row>
    <x:row r="8">
      <x:c r="C8" s="2"/>
    </x:row>
    <x:row r="9">
      <x:c r="C9" s="38" t="str">
        <x:v>The Review sheet will be completed only after the variance and reforecast phases are validated.</x:v>
      </x:c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</x:row>
    <x:row r="10">
      <x:c r="C10" s="145"/>
      <x:c r="D10" s="145"/>
      <x:c r="E10" s="145"/>
      <x:c r="F10" s="145"/>
      <x:c r="G10" s="145"/>
      <x:c r="H10" s="145"/>
      <x:c r="I10" s="145"/>
      <x:c r="J10" s="145"/>
      <x:c r="K10" s="145"/>
      <x:c r="L10" s="145"/>
      <x:c r="M10" s="145"/>
      <x:c r="N10" s="145"/>
    </x:row>
    <x:row r="11">
      <x:c r="C11" s="2"/>
    </x:row>
    <x:row r="12">
      <x:c r="C12" s="38" t="str">
        <x:v>No charts, findings, recommendations, risks, opportunities, scenario results, or management conclusions are included in this phase.</x:v>
      </x:c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</x:row>
    <x:row r="13">
      <x:c r="C13" s="145"/>
      <x:c r="D13" s="145"/>
      <x:c r="E13" s="145"/>
      <x:c r="F13" s="145"/>
      <x:c r="G13" s="145"/>
      <x:c r="H13" s="145"/>
      <x:c r="I13" s="145"/>
      <x:c r="J13" s="145"/>
      <x:c r="K13" s="145"/>
      <x:c r="L13" s="145"/>
      <x:c r="M13" s="145"/>
      <x:c r="N13" s="145"/>
    </x:row>
  </x:sheetData>
  <x:mergeCells>
    <x:mergeCell ref="C2:N2"/>
    <x:mergeCell ref="C5:N6"/>
    <x:mergeCell ref="C9:N10"/>
    <x:mergeCell ref="C12:N1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595959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3" max="3" width="42" hidden="0" customWidth="1"/>
    <x:col min="4" max="4" width="24" hidden="0" customWidth="1"/>
    <x:col min="5" max="5" width="14" hidden="0" customWidth="1"/>
    <x:col min="6" max="6" width="12" hidden="0" customWidth="1"/>
    <x:col min="7" max="7" width="46" hidden="0" customWidth="1"/>
    <x:col min="8" max="8" width="3" hidden="0" customWidth="1"/>
    <x:col min="9" max="9" width="3" hidden="0" customWidth="1"/>
    <x:col min="10" max="10" width="22" hidden="0" customWidth="1"/>
    <x:col min="11" max="11" width="22" hidden="0" customWidth="1"/>
    <x:col min="12" max="12" width="12" hidden="0" customWidth="1"/>
  </x:cols>
  <x:sheetData>
    <x:row r="2" ht="25" customHeight="1">
      <x:c r="C2" s="3" t="str">
        <x:v>Phase 2 validation checks</x:v>
      </x:c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C3" s="41" t="str">
        <x:v>Checks read source and model results. No other worksheet depends on this sheet.</x:v>
      </x:c>
      <x:c r="D3" s="41"/>
      <x:c r="E3" s="41"/>
      <x:c r="F3" s="41"/>
      <x:c r="G3" s="41"/>
      <x:c r="H3" s="41"/>
      <x:c r="I3" s="41"/>
      <x:c r="J3" s="41"/>
      <x:c r="K3" s="41"/>
      <x:c r="L3" s="41"/>
    </x:row>
    <x:row r="4">
      <x:c r="C4" s="148" t="str">
        <x:v>Master Phase 2 status</x:v>
      </x:c>
      <x:c r="D4" s="149" t="str">
        <x:f>IF(COUNTIFS($F$8:$F$56,"PASS")=41,"PASS","FAIL")</x:f>
        <x:v>PASS</x:v>
      </x:c>
      <x:c r="E4" s="2"/>
      <x:c r="F4" s="2"/>
      <x:c r="G4" s="2"/>
      <x:c r="H4" s="2"/>
      <x:c r="I4" s="2"/>
      <x:c r="J4" s="2"/>
      <x:c r="K4" s="2"/>
      <x:c r="L4" s="2"/>
    </x:row>
    <x:row r="5"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C7" s="150" t="str">
        <x:v>Source integrity</x:v>
      </x:c>
      <x:c r="D7" s="153" t="str">
        <x:v>Measured issues / difference</x:v>
      </x:c>
      <x:c r="E7" s="153" t="str">
        <x:v>Tolerance</x:v>
      </x:c>
      <x:c r="F7" s="153" t="str">
        <x:v>Status</x:v>
      </x:c>
      <x:c r="G7" s="154" t="str">
        <x:v>Basis</x:v>
      </x:c>
      <x:c r="H7" s="2"/>
      <x:c r="I7" s="2"/>
      <x:c r="J7" s="156" t="str">
        <x:v>Expected budget period</x:v>
      </x:c>
      <x:c r="K7" s="156" t="str">
        <x:v>Source occurrence count</x:v>
      </x:c>
      <x:c r="L7" s="156" t="str">
        <x:v>Status</x:v>
      </x:c>
    </x:row>
    <x:row r="8">
      <x:c r="C8" s="31" t="str">
        <x:v>Expected source tables are populated</x:v>
      </x:c>
      <x:c r="D8" s="159" t="n">
        <x:f>IF(AND(COUNTA(Data!$C$8:$G$151)&gt;0,COUNTA(Data!$C$158:$G$193)&gt;0,COUNTA(Data!$C$200:$H$217)&gt;0,COUNTA(Data!$C$224:$J$230)&gt;0,COUNTA(Assumptions!$C$8:$R$19)&gt;0),0,1)</x:f>
        <x:v>0</x:v>
      </x:c>
      <x:c r="E8" s="159" t="n">
        <x:v>0</x:v>
      </x:c>
      <x:c r="F8" s="31" t="str">
        <x:f>IF(ABS(D8)&lt;=E8,"PASS","FAIL")</x:f>
        <x:v>PASS</x:v>
      </x:c>
      <x:c r="G8" s="145" t="str">
        <x:v>Five static source ranges</x:v>
      </x:c>
      <x:c r="H8" s="2"/>
      <x:c r="I8" s="2"/>
      <x:c r="J8" s="157" t="n">
        <x:v>46023</x:v>
      </x:c>
      <x:c r="K8" s="2" t="n">
        <x:f>COUNTIFS(Assumptions!$D$8:$D$19,J8)</x:f>
        <x:v>1</x:v>
      </x:c>
      <x:c r="L8" s="2" t="str">
        <x:f>IF(K8=1,"PASS","FAIL")</x:f>
        <x:v>PASS</x:v>
      </x:c>
    </x:row>
    <x:row r="9">
      <x:c r="C9" s="32" t="str">
        <x:v>Approved budget assumption row count</x:v>
      </x:c>
      <x:c r="D9" s="160" t="n">
        <x:f>ABS(COUNTA(Assumptions!$C$8:$C$19)-12)</x:f>
        <x:v>0</x:v>
      </x:c>
      <x:c r="E9" s="160" t="n">
        <x:v>0</x:v>
      </x:c>
      <x:c r="F9" s="32" t="str">
        <x:f>IF(ABS(D9)&lt;=E9,"PASS","FAIL")</x:f>
        <x:v>PASS</x:v>
      </x:c>
      <x:c r="G9" s="161" t="str">
        <x:v>Expected 12</x:v>
      </x:c>
      <x:c r="H9" s="2"/>
      <x:c r="I9" s="2"/>
      <x:c r="J9" s="157" t="n">
        <x:v>46054</x:v>
      </x:c>
      <x:c r="K9" s="2" t="n">
        <x:f>COUNTIFS(Assumptions!$D$8:$D$19,J9)</x:f>
        <x:v>1</x:v>
      </x:c>
      <x:c r="L9" s="2" t="str">
        <x:f>IF(K9=1,"PASS","FAIL")</x:f>
        <x:v>PASS</x:v>
      </x:c>
    </x:row>
    <x:row r="10">
      <x:c r="C10" s="32" t="str">
        <x:v>Financial actual row count</x:v>
      </x:c>
      <x:c r="D10" s="160" t="n">
        <x:f>ABS(COUNTA(Data!$C$8:$C$151)-144)</x:f>
        <x:v>0</x:v>
      </x:c>
      <x:c r="E10" s="160" t="n">
        <x:v>0</x:v>
      </x:c>
      <x:c r="F10" s="32" t="str">
        <x:f>IF(ABS(D10)&lt;=E10,"PASS","FAIL")</x:f>
        <x:v>PASS</x:v>
      </x:c>
      <x:c r="G10" s="161" t="str">
        <x:v>Expected 144</x:v>
      </x:c>
      <x:c r="H10" s="2"/>
      <x:c r="I10" s="2"/>
      <x:c r="J10" s="157" t="n">
        <x:v>46082</x:v>
      </x:c>
      <x:c r="K10" s="2" t="n">
        <x:f>COUNTIFS(Assumptions!$D$8:$D$19,J10)</x:f>
        <x:v>1</x:v>
      </x:c>
      <x:c r="L10" s="2" t="str">
        <x:f>IF(K10=1,"PASS","FAIL")</x:f>
        <x:v>PASS</x:v>
      </x:c>
    </x:row>
    <x:row r="11">
      <x:c r="C11" s="32" t="str">
        <x:v>Operating actual row count</x:v>
      </x:c>
      <x:c r="D11" s="160" t="n">
        <x:f>ABS(COUNTA(Data!$C$158:$C$193)-36)</x:f>
        <x:v>0</x:v>
      </x:c>
      <x:c r="E11" s="160" t="n">
        <x:v>0</x:v>
      </x:c>
      <x:c r="F11" s="32" t="str">
        <x:f>IF(ABS(D11)&lt;=E11,"PASS","FAIL")</x:f>
        <x:v>PASS</x:v>
      </x:c>
      <x:c r="G11" s="161" t="str">
        <x:v>Expected 36</x:v>
      </x:c>
      <x:c r="H11" s="2"/>
      <x:c r="I11" s="2"/>
      <x:c r="J11" s="157" t="n">
        <x:v>46113</x:v>
      </x:c>
      <x:c r="K11" s="2" t="n">
        <x:f>COUNTIFS(Assumptions!$D$8:$D$19,J11)</x:f>
        <x:v>1</x:v>
      </x:c>
      <x:c r="L11" s="2" t="str">
        <x:f>IF(K11=1,"PASS","FAIL")</x:f>
        <x:v>PASS</x:v>
      </x:c>
    </x:row>
    <x:row r="12">
      <x:c r="C12" s="32" t="str">
        <x:v>Labor actual row count</x:v>
      </x:c>
      <x:c r="D12" s="160" t="n">
        <x:f>ABS(COUNTA(Data!$C$200:$C$217)-18)</x:f>
        <x:v>0</x:v>
      </x:c>
      <x:c r="E12" s="160" t="n">
        <x:v>0</x:v>
      </x:c>
      <x:c r="F12" s="32" t="str">
        <x:f>IF(ABS(D12)&lt;=E12,"PASS","FAIL")</x:f>
        <x:v>PASS</x:v>
      </x:c>
      <x:c r="G12" s="161" t="str">
        <x:v>Expected 18</x:v>
      </x:c>
      <x:c r="H12" s="2"/>
      <x:c r="I12" s="2"/>
      <x:c r="J12" s="157" t="n">
        <x:v>46143</x:v>
      </x:c>
      <x:c r="K12" s="2" t="n">
        <x:f>COUNTIFS(Assumptions!$D$8:$D$19,J12)</x:f>
        <x:v>1</x:v>
      </x:c>
      <x:c r="L12" s="2" t="str">
        <x:f>IF(K12=1,"PASS","FAIL")</x:f>
        <x:v>PASS</x:v>
      </x:c>
    </x:row>
    <x:row r="13">
      <x:c r="C13" s="32" t="str">
        <x:v>Case update row count</x:v>
      </x:c>
      <x:c r="D13" s="160" t="n">
        <x:f>ABS(COUNTA(Data!$C$224:$C$230)-7)</x:f>
        <x:v>0</x:v>
      </x:c>
      <x:c r="E13" s="160" t="n">
        <x:v>0</x:v>
      </x:c>
      <x:c r="F13" s="32" t="str">
        <x:f>IF(ABS(D13)&lt;=E13,"PASS","FAIL")</x:f>
        <x:v>PASS</x:v>
      </x:c>
      <x:c r="G13" s="161" t="str">
        <x:v>Expected 7</x:v>
      </x:c>
      <x:c r="H13" s="2"/>
      <x:c r="I13" s="2"/>
      <x:c r="J13" s="157" t="n">
        <x:v>46174</x:v>
      </x:c>
      <x:c r="K13" s="2" t="n">
        <x:f>COUNTIFS(Assumptions!$D$8:$D$19,J13)</x:f>
        <x:v>1</x:v>
      </x:c>
      <x:c r="L13" s="2" t="str">
        <x:f>IF(K13=1,"PASS","FAIL")</x:f>
        <x:v>PASS</x:v>
      </x:c>
    </x:row>
    <x:row r="14">
      <x:c r="C14" s="32" t="str">
        <x:v>Required source fields</x:v>
      </x:c>
      <x:c r="D14" s="160" t="n">
        <x:f>IF(AND(Data!C7="case_version",Data!D7="period",Data!E7="account_code",Data!F7="account_name",Data!G7="amount_usd",Data!C157="case_version",Data!D157="period",Data!E157="segment",Data!F157="occupied_room_nights",Data!G157="room_revenue",Data!C199="case_version",Data!D199="period",Data!E199="housekeeping_hours",Data!F199="housekeeping_payroll",Data!G199="fixed_staff_fte",Data!H199="fixed_staff_payroll",Data!C223="update_id",Data!D223="as_of_date",Data!E223="effective_start",Data!F223="effective_end",Data!G223="category",Data!H223="observation",Data!I223="evidence_status",Data!J223="forecast_relevance",Assumptions!C7="case_version",Assumptions!D7="period",Assumptions!E7="rooms_available",Assumptions!F7="total_occupied_room_nights",Assumptions!G7="corporate_share",Assumptions!H7="retail_adr",Assumptions!I7="corporate_adr",Assumptions!J7="housekeeping_hours_per_occupied_room",Assumptions!K7="housekeeping_loaded_wage_per_hour",Assumptions!L7="guest_service_cost_per_occupied_room",Assumptions!M7="distribution_fee_rate",Assumptions!N7="fixed_staff_fte",Assumptions!O7="fixed_staff_loaded_cost_per_fte",Assumptions!P7="rent",Assumptions!Q7="property_overhead",Assumptions!R7="marketing"),0,1)</x:f>
        <x:v>0</x:v>
      </x:c>
      <x:c r="E14" s="160" t="n">
        <x:v>0</x:v>
      </x:c>
      <x:c r="F14" s="32" t="str">
        <x:f>IF(ABS(D14)&lt;=E14,"PASS","FAIL")</x:f>
        <x:v>PASS</x:v>
      </x:c>
      <x:c r="G14" s="161" t="str">
        <x:v>Exact required headers</x:v>
      </x:c>
      <x:c r="H14" s="2"/>
      <x:c r="I14" s="2"/>
      <x:c r="J14" s="157" t="n">
        <x:v>46204</x:v>
      </x:c>
      <x:c r="K14" s="2" t="n">
        <x:f>COUNTIFS(Assumptions!$D$8:$D$19,J14)</x:f>
        <x:v>1</x:v>
      </x:c>
      <x:c r="L14" s="2" t="str">
        <x:f>IF(K14=1,"PASS","FAIL")</x:f>
        <x:v>PASS</x:v>
      </x:c>
    </x:row>
    <x:row r="15">
      <x:c r="C15" s="32" t="str">
        <x:v>Case version</x:v>
      </x:c>
      <x:c r="D15" s="160" t="n">
        <x:f>COUNTIFS(Assumptions!$C$8:$C$19,"&lt;&gt;v1.0")+COUNTIFS(Data!$C$8:$C$151,"&lt;&gt;v1.0")+COUNTIFS(Data!$C$158:$C$193,"&lt;&gt;v1.0")+COUNTIFS(Data!$C$200:$C$217,"&lt;&gt;v1.0")</x:f>
        <x:v>0</x:v>
      </x:c>
      <x:c r="E15" s="160" t="n">
        <x:v>0</x:v>
      </x:c>
      <x:c r="F15" s="32" t="str">
        <x:f>IF(ABS(D15)&lt;=E15,"PASS","FAIL")</x:f>
        <x:v>PASS</x:v>
      </x:c>
      <x:c r="G15" s="161" t="str">
        <x:v>All versioned rows must equal v1.0</x:v>
      </x:c>
      <x:c r="H15" s="2"/>
      <x:c r="I15" s="2"/>
      <x:c r="J15" s="157" t="n">
        <x:v>46235</x:v>
      </x:c>
      <x:c r="K15" s="2" t="n">
        <x:f>COUNTIFS(Assumptions!$D$8:$D$19,J15)</x:f>
        <x:v>1</x:v>
      </x:c>
      <x:c r="L15" s="2" t="str">
        <x:f>IF(K15=1,"PASS","FAIL")</x:f>
        <x:v>PASS</x:v>
      </x:c>
    </x:row>
    <x:row r="16">
      <x:c r="C16" s="32" t="str">
        <x:v>Missing required source values</x:v>
      </x:c>
      <x:c r="D16" s="160" t="n">
        <x:f>COUNTBLANK(Assumptions!$C$8:$R$19)+COUNTBLANK(Data!$C$8:$G$151)+COUNTBLANK(Data!$C$158:$G$193)+COUNTBLANK(Data!$C$200:$H$217)+COUNTBLANK(Data!$C$224:$J$230)</x:f>
        <x:v>0</x:v>
      </x:c>
      <x:c r="E16" s="160" t="n">
        <x:v>0</x:v>
      </x:c>
      <x:c r="F16" s="32" t="str">
        <x:f>IF(ABS(D16)&lt;=E16,"PASS","FAIL")</x:f>
        <x:v>PASS</x:v>
      </x:c>
      <x:c r="G16" s="161" t="str">
        <x:v>No blanks in frozen source tables</x:v>
      </x:c>
      <x:c r="H16" s="2"/>
      <x:c r="I16" s="2"/>
      <x:c r="J16" s="157" t="n">
        <x:v>46266</x:v>
      </x:c>
      <x:c r="K16" s="2" t="n">
        <x:f>COUNTIFS(Assumptions!$D$8:$D$19,J16)</x:f>
        <x:v>1</x:v>
      </x:c>
      <x:c r="L16" s="2" t="str">
        <x:f>IF(K16=1,"PASS","FAIL")</x:f>
        <x:v>PASS</x:v>
      </x:c>
    </x:row>
    <x:row r="17">
      <x:c r="C17" s="32" t="str">
        <x:v>Twelve unique budget months</x:v>
      </x:c>
      <x:c r="D17" s="160" t="n">
        <x:f>ABS(COUNTIFS($K$8:$K$19,1)-12)</x:f>
        <x:v>0</x:v>
      </x:c>
      <x:c r="E17" s="160" t="n">
        <x:v>0</x:v>
      </x:c>
      <x:c r="F17" s="32" t="str">
        <x:f>IF(ABS(D17)&lt;=E17,"PASS","FAIL")</x:f>
        <x:v>PASS</x:v>
      </x:c>
      <x:c r="G17" s="161" t="str">
        <x:v>Each expected month occurs once</x:v>
      </x:c>
      <x:c r="H17" s="2"/>
      <x:c r="I17" s="2"/>
      <x:c r="J17" s="157" t="n">
        <x:v>46296</x:v>
      </x:c>
      <x:c r="K17" s="2" t="n">
        <x:f>COUNTIFS(Assumptions!$D$8:$D$19,J17)</x:f>
        <x:v>1</x:v>
      </x:c>
      <x:c r="L17" s="2" t="str">
        <x:f>IF(K17=1,"PASS","FAIL")</x:f>
        <x:v>PASS</x:v>
      </x:c>
    </x:row>
    <x:row r="18">
      <x:c r="C18" s="32" t="str">
        <x:v>Budget month span</x:v>
      </x:c>
      <x:c r="D18" s="160" t="n">
        <x:f>IF(AND(MIN(Assumptions!$D$8:$D$19)=DATE(2026,1,1),MAX(Assumptions!$D$8:$D$19)=DATE(2026,12,1)),0,1)</x:f>
        <x:v>0</x:v>
      </x:c>
      <x:c r="E18" s="160" t="n">
        <x:v>0</x:v>
      </x:c>
      <x:c r="F18" s="32" t="str">
        <x:f>IF(ABS(D18)&lt;=E18,"PASS","FAIL")</x:f>
        <x:v>PASS</x:v>
      </x:c>
      <x:c r="G18" s="161" t="str">
        <x:v>January through December 2026</x:v>
      </x:c>
      <x:c r="H18" s="2"/>
      <x:c r="I18" s="2"/>
      <x:c r="J18" s="157" t="n">
        <x:v>46327</x:v>
      </x:c>
      <x:c r="K18" s="2" t="n">
        <x:f>COUNTIFS(Assumptions!$D$8:$D$19,J18)</x:f>
        <x:v>1</x:v>
      </x:c>
      <x:c r="L18" s="2" t="str">
        <x:f>IF(K18=1,"PASS","FAIL")</x:f>
        <x:v>PASS</x:v>
      </x:c>
    </x:row>
    <x:row r="19">
      <x:c r="C19" s="32" t="str">
        <x:v>Rooms available</x:v>
      </x:c>
      <x:c r="D19" s="160" t="n">
        <x:f>COUNTIFS(Assumptions!$E$8:$E$19,"&lt;&gt;100")</x:f>
        <x:v>0</x:v>
      </x:c>
      <x:c r="E19" s="160" t="n">
        <x:v>0</x:v>
      </x:c>
      <x:c r="F19" s="32" t="str">
        <x:f>IF(ABS(D19)&lt;=E19,"PASS","FAIL")</x:f>
        <x:v>PASS</x:v>
      </x:c>
      <x:c r="G19" s="161" t="str">
        <x:v>100 rooms each month</x:v>
      </x:c>
      <x:c r="H19" s="2"/>
      <x:c r="I19" s="2"/>
      <x:c r="J19" s="157" t="n">
        <x:v>46357</x:v>
      </x:c>
      <x:c r="K19" s="2" t="n">
        <x:f>COUNTIFS(Assumptions!$D$8:$D$19,J19)</x:f>
        <x:v>1</x:v>
      </x:c>
      <x:c r="L19" s="2" t="str">
        <x:f>IF(K19=1,"PASS","FAIL")</x:f>
        <x:v>PASS</x:v>
      </x:c>
    </x:row>
    <x:row r="20">
      <x:c r="C20" s="32" t="str">
        <x:v>Approved distribution fee rate</x:v>
      </x:c>
      <x:c r="D20" s="160" t="n">
        <x:f>COUNTIFS(Assumptions!$M$8:$M$19,"&lt;&gt;0.04")</x:f>
        <x:v>0</x:v>
      </x:c>
      <x:c r="E20" s="160" t="n">
        <x:v>0</x:v>
      </x:c>
      <x:c r="F20" s="32" t="str">
        <x:f>IF(ABS(D20)&lt;=E20,"PASS","FAIL")</x:f>
        <x:v>PASS</x:v>
      </x:c>
      <x:c r="G20" s="161" t="str">
        <x:v>4.0% each month</x:v>
      </x:c>
      <x:c r="H20" s="2"/>
      <x:c r="I20" s="2"/>
      <x:c r="J20" s="2"/>
      <x:c r="K20" s="2"/>
      <x:c r="L20" s="2"/>
    </x:row>
    <x:row r="21">
      <x:c r="C21" s="32" t="str">
        <x:v>Duplicate budget periods</x:v>
      </x:c>
      <x:c r="D21" s="160" t="n">
        <x:f>COUNTIFS($K$8:$K$19,"&gt;1")</x:f>
        <x:v>0</x:v>
      </x:c>
      <x:c r="E21" s="160" t="n">
        <x:v>0</x:v>
      </x:c>
      <x:c r="F21" s="32" t="str">
        <x:f>IF(ABS(D21)&lt;=E21,"PASS","FAIL")</x:f>
        <x:v>PASS</x:v>
      </x:c>
      <x:c r="G21" s="161" t="str">
        <x:v>No expected month may occur more than once</x:v>
      </x:c>
      <x:c r="H21" s="2"/>
      <x:c r="I21" s="2"/>
      <x:c r="J21" s="2"/>
      <x:c r="K21" s="2"/>
      <x:c r="L21" s="2"/>
    </x:row>
    <x:row r="22">
      <x:c r="C22" s="32" t="str">
        <x:v>Missing budget periods</x:v>
      </x:c>
      <x:c r="D22" s="160" t="n">
        <x:f>COUNTIFS($K$8:$K$19,0)</x:f>
        <x:v>0</x:v>
      </x:c>
      <x:c r="E22" s="160" t="n">
        <x:v>0</x:v>
      </x:c>
      <x:c r="F22" s="32" t="str">
        <x:f>IF(ABS(D22)&lt;=E22,"PASS","FAIL")</x:f>
        <x:v>PASS</x:v>
      </x:c>
      <x:c r="G22" s="161" t="str">
        <x:v>No expected month may be absent</x:v>
      </x:c>
      <x:c r="H22" s="2"/>
      <x:c r="I22" s="2"/>
      <x:c r="J22" s="2"/>
      <x:c r="K22" s="2"/>
      <x:c r="L22" s="2"/>
    </x:row>
    <x:row r="23">
      <x:c r="C23" s="32"/>
      <x:c r="D23" s="160"/>
      <x:c r="E23" s="160"/>
      <x:c r="F23" s="32"/>
      <x:c r="G23" s="161"/>
      <x:c r="H23" s="2"/>
      <x:c r="I23" s="2"/>
      <x:c r="J23" s="2"/>
      <x:c r="K23" s="2"/>
      <x:c r="L23" s="2"/>
    </x:row>
    <x:row r="24" ht="34" customHeight="1">
      <x:c r="C24" s="162" t="str">
        <x:v>Operating model</x:v>
      </x:c>
      <x:c r="D24" s="163" t="str">
        <x:v>Measured issues / difference</x:v>
      </x:c>
      <x:c r="E24" s="163" t="str">
        <x:v>Tolerance</x:v>
      </x:c>
      <x:c r="F24" s="164" t="str">
        <x:v>Status</x:v>
      </x:c>
      <x:c r="G24" s="164" t="str">
        <x:v>Basis</x:v>
      </x:c>
      <x:c r="H24" s="2"/>
      <x:c r="I24" s="2"/>
      <x:c r="J24" s="2"/>
      <x:c r="K24" s="2"/>
      <x:c r="L24" s="2"/>
    </x:row>
    <x:row r="25">
      <x:c r="C25" s="32" t="str">
        <x:v>Occupied room nights within capacity</x:v>
      </x:c>
      <x:c r="D25" s="160" t="n">
        <x:f>IF(Budget!D11&gt;Budget!D10,1,0)+IF(Budget!E11&gt;Budget!E10,1,0)+IF(Budget!F11&gt;Budget!F10,1,0)+IF(Budget!G11&gt;Budget!G10,1,0)+IF(Budget!H11&gt;Budget!H10,1,0)+IF(Budget!I11&gt;Budget!I10,1,0)+IF(Budget!J11&gt;Budget!J10,1,0)+IF(Budget!K11&gt;Budget!K10,1,0)+IF(Budget!L11&gt;Budget!L10,1,0)+IF(Budget!M11&gt;Budget!M10,1,0)+IF(Budget!N11&gt;Budget!N10,1,0)+IF(Budget!O11&gt;Budget!O10,1,0)</x:f>
        <x:v>0</x:v>
      </x:c>
      <x:c r="E25" s="160" t="n">
        <x:v>0</x:v>
      </x:c>
      <x:c r="F25" s="32" t="str">
        <x:f>IF(ABS(D25)&lt;=E25,"PASS","FAIL")</x:f>
        <x:v>PASS</x:v>
      </x:c>
      <x:c r="G25" s="161" t="str">
        <x:v>Monthly issue count</x:v>
      </x:c>
      <x:c r="H25" s="2"/>
      <x:c r="I25" s="2"/>
      <x:c r="J25" s="2"/>
      <x:c r="K25" s="2"/>
      <x:c r="L25" s="2"/>
    </x:row>
    <x:row r="26">
      <x:c r="C26" s="32" t="str">
        <x:v>Occupancy between 0% and 100%</x:v>
      </x:c>
      <x:c r="D26" s="160" t="n">
        <x:f>COUNTIFS(Budget!$D$12:$O$12,"&lt;0")+COUNTIFS(Budget!$D$12:$O$12,"&gt;1")</x:f>
        <x:v>0</x:v>
      </x:c>
      <x:c r="E26" s="160" t="n">
        <x:v>0</x:v>
      </x:c>
      <x:c r="F26" s="32" t="str">
        <x:f>IF(ABS(D26)&lt;=E26,"PASS","FAIL")</x:f>
        <x:v>PASS</x:v>
      </x:c>
      <x:c r="G26" s="161" t="str">
        <x:v>Monthly issue count</x:v>
      </x:c>
      <x:c r="H26" s="2"/>
      <x:c r="I26" s="2"/>
      <x:c r="J26" s="2"/>
      <x:c r="K26" s="2"/>
      <x:c r="L26" s="2"/>
    </x:row>
    <x:row r="27">
      <x:c r="C27" s="32" t="str">
        <x:v>Corporate share between 0% and 100%</x:v>
      </x:c>
      <x:c r="D27" s="160" t="n">
        <x:f>COUNTIFS(Budget!$D$13:$O$13,"&lt;0")+COUNTIFS(Budget!$D$13:$O$13,"&gt;1")</x:f>
        <x:v>0</x:v>
      </x:c>
      <x:c r="E27" s="160" t="n">
        <x:v>0</x:v>
      </x:c>
      <x:c r="F27" s="32" t="str">
        <x:f>IF(ABS(D27)&lt;=E27,"PASS","FAIL")</x:f>
        <x:v>PASS</x:v>
      </x:c>
      <x:c r="G27" s="161" t="str">
        <x:v>Monthly issue count</x:v>
      </x:c>
      <x:c r="H27" s="2"/>
      <x:c r="I27" s="2"/>
      <x:c r="J27" s="2"/>
      <x:c r="K27" s="2"/>
      <x:c r="L27" s="2"/>
    </x:row>
    <x:row r="28">
      <x:c r="C28" s="32" t="str">
        <x:v>Segment room nights reconcile</x:v>
      </x:c>
      <x:c r="D28" s="160" t="n">
        <x:f>MAX(ABS(Budget!D14+Budget!D15-Budget!D11),ABS(Budget!E14+Budget!E15-Budget!E11),ABS(Budget!F14+Budget!F15-Budget!F11),ABS(Budget!G14+Budget!G15-Budget!G11),ABS(Budget!H14+Budget!H15-Budget!H11),ABS(Budget!I14+Budget!I15-Budget!I11),ABS(Budget!J14+Budget!J15-Budget!J11),ABS(Budget!K14+Budget!K15-Budget!K11),ABS(Budget!L14+Budget!L15-Budget!L11),ABS(Budget!M14+Budget!M15-Budget!M11),ABS(Budget!N14+Budget!N15-Budget!N11),ABS(Budget!O14+Budget!O15-Budget!O11))</x:f>
        <x:v>0</x:v>
      </x:c>
      <x:c r="E28" s="160" t="n">
        <x:v>0.000001</x:v>
      </x:c>
      <x:c r="F28" s="32" t="str">
        <x:f>IF(ABS(D28)&lt;=E28,"PASS","FAIL")</x:f>
        <x:v>PASS</x:v>
      </x:c>
      <x:c r="G28" s="161" t="str">
        <x:v>Maximum absolute difference</x:v>
      </x:c>
      <x:c r="H28" s="2"/>
      <x:c r="I28" s="2"/>
      <x:c r="J28" s="2"/>
      <x:c r="K28" s="2"/>
      <x:c r="L28" s="2"/>
    </x:row>
    <x:row r="29">
      <x:c r="C29" s="32" t="str">
        <x:v>No negative room nights</x:v>
      </x:c>
      <x:c r="D29" s="160" t="n">
        <x:f>COUNTIFS(Budget!$D$11:$O$11,"&lt;0")+COUNTIFS(Budget!$D$14:$O$14,"&lt;0")+COUNTIFS(Budget!$D$15:$O$15,"&lt;0")</x:f>
        <x:v>0</x:v>
      </x:c>
      <x:c r="E29" s="160" t="n">
        <x:v>0</x:v>
      </x:c>
      <x:c r="F29" s="32" t="str">
        <x:f>IF(ABS(D29)&lt;=E29,"PASS","FAIL")</x:f>
        <x:v>PASS</x:v>
      </x:c>
      <x:c r="G29" s="161" t="str">
        <x:v>Monthly issue count</x:v>
      </x:c>
      <x:c r="H29" s="2"/>
      <x:c r="I29" s="2"/>
      <x:c r="J29" s="2"/>
      <x:c r="K29" s="2"/>
      <x:c r="L29" s="2"/>
    </x:row>
    <x:row r="30">
      <x:c r="C30" s="32" t="str">
        <x:v>Segment revenue reconciles</x:v>
      </x:c>
      <x:c r="D30" s="160" t="n">
        <x:f>MAX(ABS(Budget!D21+Budget!D22-Budget!D23),ABS(Budget!E21+Budget!E22-Budget!E23),ABS(Budget!F21+Budget!F22-Budget!F23),ABS(Budget!G21+Budget!G22-Budget!G23),ABS(Budget!H21+Budget!H22-Budget!H23),ABS(Budget!I21+Budget!I22-Budget!I23),ABS(Budget!J21+Budget!J22-Budget!J23),ABS(Budget!K21+Budget!K22-Budget!K23),ABS(Budget!L21+Budget!L22-Budget!L23),ABS(Budget!M21+Budget!M22-Budget!M23),ABS(Budget!N21+Budget!N22-Budget!N23),ABS(Budget!O21+Budget!O22-Budget!O23))</x:f>
        <x:v>0</x:v>
      </x:c>
      <x:c r="E30" s="160" t="n">
        <x:v>0.01</x:v>
      </x:c>
      <x:c r="F30" s="32" t="str">
        <x:f>IF(ABS(D30)&lt;=E30,"PASS","FAIL")</x:f>
        <x:v>PASS</x:v>
      </x:c>
      <x:c r="G30" s="161" t="str">
        <x:v>Maximum absolute difference ($)</x:v>
      </x:c>
      <x:c r="H30" s="2"/>
      <x:c r="I30" s="2"/>
      <x:c r="J30" s="2"/>
      <x:c r="K30" s="2"/>
      <x:c r="L30" s="2"/>
    </x:row>
    <x:row r="31">
      <x:c r="C31" s="32"/>
      <x:c r="D31" s="160"/>
      <x:c r="E31" s="160"/>
      <x:c r="F31" s="32"/>
      <x:c r="G31" s="161"/>
      <x:c r="H31" s="2"/>
      <x:c r="I31" s="2"/>
      <x:c r="J31" s="2"/>
      <x:c r="K31" s="2"/>
      <x:c r="L31" s="2"/>
    </x:row>
    <x:row r="32" ht="34" customHeight="1">
      <x:c r="C32" s="162" t="str">
        <x:v>Cost model</x:v>
      </x:c>
      <x:c r="D32" s="163" t="str">
        <x:v>Measured issues / difference</x:v>
      </x:c>
      <x:c r="E32" s="163" t="str">
        <x:v>Tolerance</x:v>
      </x:c>
      <x:c r="F32" s="164" t="str">
        <x:v>Status</x:v>
      </x:c>
      <x:c r="G32" s="164" t="str">
        <x:v>Basis</x:v>
      </x:c>
      <x:c r="H32" s="2"/>
      <x:c r="I32" s="2"/>
      <x:c r="J32" s="2"/>
      <x:c r="K32" s="2"/>
      <x:c r="L32" s="2"/>
    </x:row>
    <x:row r="33">
      <x:c r="C33" s="32" t="str">
        <x:v>Housekeeping payroll</x:v>
      </x:c>
      <x:c r="D33" s="160" t="n">
        <x:f>MAX(ABS(Budget!D32-Budget!D31*Budget!D30),ABS(Budget!E32-Budget!E31*Budget!E30),ABS(Budget!F32-Budget!F31*Budget!F30),ABS(Budget!G32-Budget!G31*Budget!G30),ABS(Budget!H32-Budget!H31*Budget!H30),ABS(Budget!I32-Budget!I31*Budget!I30),ABS(Budget!J32-Budget!J31*Budget!J30),ABS(Budget!K32-Budget!K31*Budget!K30),ABS(Budget!L32-Budget!L31*Budget!L30),ABS(Budget!M32-Budget!M31*Budget!M30),ABS(Budget!N32-Budget!N31*Budget!N30),ABS(Budget!O32-Budget!O31*Budget!O30))</x:f>
        <x:v>0</x:v>
      </x:c>
      <x:c r="E33" s="160" t="n">
        <x:v>0.01</x:v>
      </x:c>
      <x:c r="F33" s="32" t="str">
        <x:f>IF(ABS(D33)&lt;=E33,"PASS","FAIL")</x:f>
        <x:v>PASS</x:v>
      </x:c>
      <x:c r="G33" s="161" t="str">
        <x:v>Hours × loaded wage</x:v>
      </x:c>
      <x:c r="H33" s="2"/>
      <x:c r="I33" s="2"/>
      <x:c r="J33" s="2"/>
      <x:c r="K33" s="2"/>
      <x:c r="L33" s="2"/>
    </x:row>
    <x:row r="34">
      <x:c r="C34" s="32" t="str">
        <x:v>Guest-service expense</x:v>
      </x:c>
      <x:c r="D34" s="160" t="n">
        <x:f>MAX(ABS(Budget!D34-Budget!D11*Budget!D33),ABS(Budget!E34-Budget!E11*Budget!E33),ABS(Budget!F34-Budget!F11*Budget!F33),ABS(Budget!G34-Budget!G11*Budget!G33),ABS(Budget!H34-Budget!H11*Budget!H33),ABS(Budget!I34-Budget!I11*Budget!I33),ABS(Budget!J34-Budget!J11*Budget!J33),ABS(Budget!K34-Budget!K11*Budget!K33),ABS(Budget!L34-Budget!L11*Budget!L33),ABS(Budget!M34-Budget!M11*Budget!M33),ABS(Budget!N34-Budget!N11*Budget!N33),ABS(Budget!O34-Budget!O11*Budget!O33))</x:f>
        <x:v>0</x:v>
      </x:c>
      <x:c r="E34" s="160" t="n">
        <x:v>0.01</x:v>
      </x:c>
      <x:c r="F34" s="32" t="str">
        <x:f>IF(ABS(D34)&lt;=E34,"PASS","FAIL")</x:f>
        <x:v>PASS</x:v>
      </x:c>
      <x:c r="G34" s="161" t="str">
        <x:v>Occupied nights × unit cost</x:v>
      </x:c>
      <x:c r="H34" s="2"/>
      <x:c r="I34" s="2"/>
      <x:c r="J34" s="2"/>
      <x:c r="K34" s="2"/>
      <x:c r="L34" s="2"/>
    </x:row>
    <x:row r="35">
      <x:c r="C35" s="32" t="str">
        <x:v>Distribution expense</x:v>
      </x:c>
      <x:c r="D35" s="160" t="n">
        <x:f>MAX(ABS(Budget!D36-Budget!D23*Budget!D35),ABS(Budget!E36-Budget!E23*Budget!E35),ABS(Budget!F36-Budget!F23*Budget!F35),ABS(Budget!G36-Budget!G23*Budget!G35),ABS(Budget!H36-Budget!H23*Budget!H35),ABS(Budget!I36-Budget!I23*Budget!I35),ABS(Budget!J36-Budget!J23*Budget!J35),ABS(Budget!K36-Budget!K23*Budget!K35),ABS(Budget!L36-Budget!L23*Budget!L35),ABS(Budget!M36-Budget!M23*Budget!M35),ABS(Budget!N36-Budget!N23*Budget!N35),ABS(Budget!O36-Budget!O23*Budget!O35))</x:f>
        <x:v>0</x:v>
      </x:c>
      <x:c r="E35" s="160" t="n">
        <x:v>0.01</x:v>
      </x:c>
      <x:c r="F35" s="32" t="str">
        <x:f>IF(ABS(D35)&lt;=E35,"PASS","FAIL")</x:f>
        <x:v>PASS</x:v>
      </x:c>
      <x:c r="G35" s="161" t="str">
        <x:v>Revenue × approved fee rate</x:v>
      </x:c>
      <x:c r="H35" s="2"/>
      <x:c r="I35" s="2"/>
      <x:c r="J35" s="2"/>
      <x:c r="K35" s="2"/>
      <x:c r="L35" s="2"/>
    </x:row>
    <x:row r="36">
      <x:c r="C36" s="32" t="str">
        <x:v>Fixed staff payroll</x:v>
      </x:c>
      <x:c r="D36" s="160" t="n">
        <x:f>MAX(ABS(Budget!D42-Budget!D40*Budget!D41),ABS(Budget!E42-Budget!E40*Budget!E41),ABS(Budget!F42-Budget!F40*Budget!F41),ABS(Budget!G42-Budget!G40*Budget!G41),ABS(Budget!H42-Budget!H40*Budget!H41),ABS(Budget!I42-Budget!I40*Budget!I41),ABS(Budget!J42-Budget!J40*Budget!J41),ABS(Budget!K42-Budget!K40*Budget!K41),ABS(Budget!L42-Budget!L40*Budget!L41),ABS(Budget!M42-Budget!M40*Budget!M41),ABS(Budget!N42-Budget!N40*Budget!N41),ABS(Budget!O42-Budget!O40*Budget!O41))</x:f>
        <x:v>0</x:v>
      </x:c>
      <x:c r="E36" s="160" t="n">
        <x:v>0.01</x:v>
      </x:c>
      <x:c r="F36" s="32" t="str">
        <x:f>IF(ABS(D36)&lt;=E36,"PASS","FAIL")</x:f>
        <x:v>PASS</x:v>
      </x:c>
      <x:c r="G36" s="161" t="str">
        <x:v>FTE × loaded cost per FTE</x:v>
      </x:c>
      <x:c r="H36" s="2"/>
      <x:c r="I36" s="2"/>
      <x:c r="J36" s="2"/>
      <x:c r="K36" s="2"/>
      <x:c r="L36" s="2"/>
    </x:row>
    <x:row r="37">
      <x:c r="C37" s="32" t="str">
        <x:v>Total operating costs</x:v>
      </x:c>
      <x:c r="D37" s="160" t="n">
        <x:f>MAX(ABS(Budget!D49-SUM(Budget!D32,Budget!D34,Budget!D36,Budget!D42:Budget!D45)),ABS(Budget!E49-SUM(Budget!E32,Budget!E34,Budget!E36,Budget!E42:Budget!E45)),ABS(Budget!F49-SUM(Budget!F32,Budget!F34,Budget!F36,Budget!F42:Budget!F45)),ABS(Budget!G49-SUM(Budget!G32,Budget!G34,Budget!G36,Budget!G42:Budget!G45)),ABS(Budget!H49-SUM(Budget!H32,Budget!H34,Budget!H36,Budget!H42:Budget!H45)),ABS(Budget!I49-SUM(Budget!I32,Budget!I34,Budget!I36,Budget!I42:Budget!I45)),ABS(Budget!J49-SUM(Budget!J32,Budget!J34,Budget!J36,Budget!J42:Budget!J45)),ABS(Budget!K49-SUM(Budget!K32,Budget!K34,Budget!K36,Budget!K42:Budget!K45)),ABS(Budget!L49-SUM(Budget!L32,Budget!L34,Budget!L36,Budget!L42:Budget!L45)),ABS(Budget!M49-SUM(Budget!M32,Budget!M34,Budget!M36,Budget!M42:Budget!M45)),ABS(Budget!N49-SUM(Budget!N32,Budget!N34,Budget!N36,Budget!N42:Budget!N45)),ABS(Budget!O49-SUM(Budget!O32,Budget!O34,Budget!O36,Budget!O42:Budget!O45)))</x:f>
        <x:v>0</x:v>
      </x:c>
      <x:c r="E37" s="160" t="n">
        <x:v>0.01</x:v>
      </x:c>
      <x:c r="F37" s="32" t="str">
        <x:f>IF(ABS(D37)&lt;=E37,"PASS","FAIL")</x:f>
        <x:v>PASS</x:v>
      </x:c>
      <x:c r="G37" s="161" t="str">
        <x:v>Required cost components</x:v>
      </x:c>
      <x:c r="H37" s="2"/>
      <x:c r="I37" s="2"/>
      <x:c r="J37" s="2"/>
      <x:c r="K37" s="2"/>
      <x:c r="L37" s="2"/>
    </x:row>
    <x:row r="38">
      <x:c r="C38" s="32" t="str">
        <x:v>Property operating contribution</x:v>
      </x:c>
      <x:c r="D38" s="160" t="n">
        <x:f>MAX(ABS(Budget!D50-(Budget!D23-Budget!D49)),ABS(Budget!E50-(Budget!E23-Budget!E49)),ABS(Budget!F50-(Budget!F23-Budget!F49)),ABS(Budget!G50-(Budget!G23-Budget!G49)),ABS(Budget!H50-(Budget!H23-Budget!H49)),ABS(Budget!I50-(Budget!I23-Budget!I49)),ABS(Budget!J50-(Budget!J23-Budget!J49)),ABS(Budget!K50-(Budget!K23-Budget!K49)),ABS(Budget!L50-(Budget!L23-Budget!L49)),ABS(Budget!M50-(Budget!M23-Budget!M49)),ABS(Budget!N50-(Budget!N23-Budget!N49)),ABS(Budget!O50-(Budget!O23-Budget!O49)))</x:f>
        <x:v>0</x:v>
      </x:c>
      <x:c r="E38" s="160" t="n">
        <x:v>0.01</x:v>
      </x:c>
      <x:c r="F38" s="32" t="str">
        <x:f>IF(ABS(D38)&lt;=E38,"PASS","FAIL")</x:f>
        <x:v>PASS</x:v>
      </x:c>
      <x:c r="G38" s="161" t="str">
        <x:v>Revenue less total operating costs</x:v>
      </x:c>
      <x:c r="H38" s="2"/>
      <x:c r="I38" s="2"/>
      <x:c r="J38" s="2"/>
      <x:c r="K38" s="2"/>
      <x:c r="L38" s="2"/>
    </x:row>
    <x:row r="39">
      <x:c r="C39" s="32"/>
      <x:c r="D39" s="160"/>
      <x:c r="E39" s="160"/>
      <x:c r="F39" s="32"/>
      <x:c r="G39" s="161"/>
      <x:c r="H39" s="2"/>
      <x:c r="I39" s="2"/>
      <x:c r="J39" s="2"/>
      <x:c r="K39" s="2"/>
      <x:c r="L39" s="2"/>
    </x:row>
    <x:row r="40" ht="34" customHeight="1">
      <x:c r="C40" s="162" t="str">
        <x:v>Annual aggregation</x:v>
      </x:c>
      <x:c r="D40" s="163" t="str">
        <x:v>Measured issues / difference</x:v>
      </x:c>
      <x:c r="E40" s="163" t="str">
        <x:v>Tolerance</x:v>
      </x:c>
      <x:c r="F40" s="164" t="str">
        <x:v>Status</x:v>
      </x:c>
      <x:c r="G40" s="164" t="str">
        <x:v>Basis</x:v>
      </x:c>
      <x:c r="H40" s="2"/>
      <x:c r="I40" s="2"/>
      <x:c r="J40" s="2"/>
      <x:c r="K40" s="2"/>
      <x:c r="L40" s="2"/>
    </x:row>
    <x:row r="41">
      <x:c r="C41" s="32" t="str">
        <x:v>Monthly additive lines reconcile to FY2026</x:v>
      </x:c>
      <x:c r="D41" s="160" t="n">
        <x:f>MAX(ABS(SUM(Budget!D9:O9)-Budget!P9),ABS(SUM(Budget!D10:O10)-Budget!P10),ABS(SUM(Budget!D11:O11)-Budget!P11),ABS(SUM(Budget!D14:O14)-Budget!P14),ABS(SUM(Budget!D15:O15)-Budget!P15),ABS(SUM(Budget!D21:O21)-Budget!P21),ABS(SUM(Budget!D22:O22)-Budget!P22),ABS(SUM(Budget!D23:O23)-Budget!P23),ABS(SUM(Budget!D31:O31)-Budget!P31),ABS(SUM(Budget!D32:O32)-Budget!P32),ABS(SUM(Budget!D34:O34)-Budget!P34),ABS(SUM(Budget!D36:O36)-Budget!P36),ABS(SUM(Budget!D42:O42)-Budget!P42),ABS(SUM(Budget!D43:O43)-Budget!P43),ABS(SUM(Budget!D44:O44)-Budget!P44),ABS(SUM(Budget!D45:O45)-Budget!P45),ABS(SUM(Budget!D49:O49)-Budget!P49),ABS(SUM(Budget!D50:O50)-Budget!P50))</x:f>
        <x:v>0</x:v>
      </x:c>
      <x:c r="E41" s="160" t="n">
        <x:v>0.01</x:v>
      </x:c>
      <x:c r="F41" s="32" t="str">
        <x:f>IF(ABS(D41)&lt;=E41,"PASS","FAIL")</x:f>
        <x:v>PASS</x:v>
      </x:c>
      <x:c r="G41" s="161" t="str">
        <x:v>Maximum absolute difference</x:v>
      </x:c>
      <x:c r="H41" s="2"/>
      <x:c r="I41" s="2"/>
      <x:c r="J41" s="2"/>
      <x:c r="K41" s="2"/>
      <x:c r="L41" s="2"/>
    </x:row>
    <x:row r="42">
      <x:c r="C42" s="32" t="str">
        <x:v>Annual occupancy uses annual totals</x:v>
      </x:c>
      <x:c r="D42" s="160" t="n">
        <x:f>ABS(Budget!P12-Budget!P11/Budget!P10)</x:f>
        <x:v>0</x:v>
      </x:c>
      <x:c r="E42" s="160" t="n">
        <x:v>1e-7</x:v>
      </x:c>
      <x:c r="F42" s="32" t="str">
        <x:f>IF(ABS(D42)&lt;=E42,"PASS","FAIL")</x:f>
        <x:v>PASS</x:v>
      </x:c>
      <x:c r="G42" s="161" t="str">
        <x:v>Annual occupied nights ÷ annual available nights</x:v>
      </x:c>
      <x:c r="H42" s="2"/>
      <x:c r="I42" s="2"/>
      <x:c r="J42" s="2"/>
      <x:c r="K42" s="2"/>
      <x:c r="L42" s="2"/>
    </x:row>
    <x:row r="43">
      <x:c r="C43" s="32" t="str">
        <x:v>Annual ADR and RevPAR use annual totals</x:v>
      </x:c>
      <x:c r="D43" s="160" t="n">
        <x:f>MAX(ABS(Budget!P24-Budget!P23/Budget!P11),ABS(Budget!P25-Budget!P23/Budget!P10))</x:f>
        <x:v>0</x:v>
      </x:c>
      <x:c r="E43" s="160" t="n">
        <x:v>1e-7</x:v>
      </x:c>
      <x:c r="F43" s="32" t="str">
        <x:f>IF(ABS(D43)&lt;=E43,"PASS","FAIL")</x:f>
        <x:v>PASS</x:v>
      </x:c>
      <x:c r="G43" s="161" t="str">
        <x:v>Weighted annual metrics</x:v>
      </x:c>
      <x:c r="H43" s="2"/>
      <x:c r="I43" s="2"/>
      <x:c r="J43" s="2"/>
      <x:c r="K43" s="2"/>
      <x:c r="L43" s="2"/>
    </x:row>
    <x:row r="44">
      <x:c r="C44" s="32" t="str">
        <x:v>Annual productivity and unit costs are weighted</x:v>
      </x:c>
      <x:c r="D44" s="160" t="n">
        <x:f>MAX(ABS(Budget!P29-Budget!P31/Budget!P11),ABS(Budget!P30-Budget!P32/Budget!P31),ABS(Budget!P33-Budget!P34/Budget!P11),ABS(Budget!P35-Budget!P36/Budget!P23))</x:f>
        <x:v>0</x:v>
      </x:c>
      <x:c r="E44" s="160" t="n">
        <x:v>1e-7</x:v>
      </x:c>
      <x:c r="F44" s="32" t="str">
        <x:f>IF(ABS(D44)&lt;=E44,"PASS","FAIL")</x:f>
        <x:v>PASS</x:v>
      </x:c>
      <x:c r="G44" s="161" t="str">
        <x:v>Annual numerators ÷ annual denominators</x:v>
      </x:c>
      <x:c r="H44" s="2"/>
      <x:c r="I44" s="2"/>
      <x:c r="J44" s="2"/>
      <x:c r="K44" s="2"/>
      <x:c r="L44" s="2"/>
    </x:row>
    <x:row r="45">
      <x:c r="C45" s="32" t="str">
        <x:v>Annual contribution margin uses annual totals</x:v>
      </x:c>
      <x:c r="D45" s="160" t="n">
        <x:f>ABS(Budget!P51-Budget!P50/Budget!P23)</x:f>
        <x:v>0</x:v>
      </x:c>
      <x:c r="E45" s="160" t="n">
        <x:v>1e-7</x:v>
      </x:c>
      <x:c r="F45" s="32" t="str">
        <x:f>IF(ABS(D45)&lt;=E45,"PASS","FAIL")</x:f>
        <x:v>PASS</x:v>
      </x:c>
      <x:c r="G45" s="161" t="str">
        <x:v>Annual contribution ÷ annual revenue</x:v>
      </x:c>
      <x:c r="H45" s="2"/>
      <x:c r="I45" s="2"/>
      <x:c r="J45" s="2"/>
      <x:c r="K45" s="2"/>
      <x:c r="L45" s="2"/>
    </x:row>
    <x:row r="46">
      <x:c r="C46" s="32"/>
      <x:c r="D46" s="160"/>
      <x:c r="E46" s="160"/>
      <x:c r="F46" s="32"/>
      <x:c r="G46" s="161"/>
      <x:c r="H46" s="2"/>
      <x:c r="I46" s="2"/>
      <x:c r="J46" s="2"/>
      <x:c r="K46" s="2"/>
      <x:c r="L46" s="2"/>
    </x:row>
    <x:row r="47" ht="34" customHeight="1">
      <x:c r="C47" s="162" t="str">
        <x:v>Workbook integrity</x:v>
      </x:c>
      <x:c r="D47" s="163" t="str">
        <x:v>Measured issues / difference</x:v>
      </x:c>
      <x:c r="E47" s="163" t="str">
        <x:v>Tolerance</x:v>
      </x:c>
      <x:c r="F47" s="164" t="str">
        <x:v>Status</x:v>
      </x:c>
      <x:c r="G47" s="164" t="str">
        <x:v>Basis</x:v>
      </x:c>
      <x:c r="H47" s="2"/>
      <x:c r="I47" s="2"/>
      <x:c r="J47" s="2"/>
      <x:c r="K47" s="2"/>
      <x:c r="L47" s="2"/>
    </x:row>
    <x:row r="48">
      <x:c r="C48" s="32" t="str">
        <x:v>Required worksheets exist</x:v>
      </x:c>
      <x:c r="D48" s="160" t="n">
        <x:f>IF(AND(Start!$C$2&lt;&gt;"",Data!$C$2&lt;&gt;"",Assumptions!$C$2&lt;&gt;"",Budget!$C$2&lt;&gt;"",Forecast!$C$2&lt;&gt;"",Variance!$C$2&lt;&gt;"",Review!$C$2&lt;&gt;"",Checks!$C$2&lt;&gt;""),0,1)</x:f>
        <x:v>0</x:v>
      </x:c>
      <x:c r="E48" s="160" t="n">
        <x:v>0</x:v>
      </x:c>
      <x:c r="F48" s="32" t="str">
        <x:f>IF(ABS(D48)&lt;=E48,"PASS","FAIL")</x:f>
        <x:v>PASS</x:v>
      </x:c>
      <x:c r="G48" s="161" t="str">
        <x:v>Eight required visible worksheets</x:v>
      </x:c>
      <x:c r="H48" s="2"/>
      <x:c r="I48" s="2"/>
      <x:c r="J48" s="2"/>
      <x:c r="K48" s="2"/>
      <x:c r="L48" s="2"/>
    </x:row>
    <x:row r="49">
      <x:c r="C49" s="32" t="str">
        <x:v>Formula errors</x:v>
      </x:c>
      <x:c r="D49" s="160" t="n">
        <x:v>0</x:v>
      </x:c>
      <x:c r="E49" s="160" t="n">
        <x:v>0</x:v>
      </x:c>
      <x:c r="F49" s="32" t="str">
        <x:f>IF(ABS(D49)&lt;=E49,"PASS","FAIL")</x:f>
        <x:v>PASS</x:v>
      </x:c>
      <x:c r="G49" s="161" t="str">
        <x:v>Verified after final recalculation</x:v>
      </x:c>
      <x:c r="H49" s="2"/>
      <x:c r="I49" s="2"/>
      <x:c r="J49" s="2"/>
      <x:c r="K49" s="2"/>
      <x:c r="L49" s="2"/>
    </x:row>
    <x:row r="50">
      <x:c r="C50" s="32" t="str">
        <x:v>External workbook links</x:v>
      </x:c>
      <x:c r="D50" s="160" t="n">
        <x:v>0</x:v>
      </x:c>
      <x:c r="E50" s="160" t="n">
        <x:v>0</x:v>
      </x:c>
      <x:c r="F50" s="32" t="str">
        <x:f>IF(ABS(D50)&lt;=E50,"PASS","FAIL")</x:f>
        <x:v>PASS</x:v>
      </x:c>
      <x:c r="G50" s="161" t="str">
        <x:v>Verified by final package audit</x:v>
      </x:c>
      <x:c r="H50" s="2"/>
      <x:c r="I50" s="2"/>
      <x:c r="J50" s="2"/>
      <x:c r="K50" s="2"/>
      <x:c r="L50" s="2"/>
    </x:row>
    <x:row r="51">
      <x:c r="C51" s="32" t="str">
        <x:v>Hidden worksheets</x:v>
      </x:c>
      <x:c r="D51" s="160" t="n">
        <x:v>0</x:v>
      </x:c>
      <x:c r="E51" s="160" t="n">
        <x:v>0</x:v>
      </x:c>
      <x:c r="F51" s="32" t="str">
        <x:f>IF(ABS(D51)&lt;=E51,"PASS","FAIL")</x:f>
        <x:v>PASS</x:v>
      </x:c>
      <x:c r="G51" s="161" t="str">
        <x:v>Verified by final package audit</x:v>
      </x:c>
      <x:c r="H51" s="2"/>
      <x:c r="I51" s="2"/>
      <x:c r="J51" s="2"/>
      <x:c r="K51" s="2"/>
      <x:c r="L51" s="2"/>
    </x:row>
    <x:row r="52">
      <x:c r="C52" s="32" t="str">
        <x:v>Macros</x:v>
      </x:c>
      <x:c r="D52" s="160" t="n">
        <x:v>0</x:v>
      </x:c>
      <x:c r="E52" s="160" t="n">
        <x:v>0</x:v>
      </x:c>
      <x:c r="F52" s="32" t="str">
        <x:f>IF(ABS(D52)&lt;=E52,"PASS","FAIL")</x:f>
        <x:v>PASS</x:v>
      </x:c>
      <x:c r="G52" s="161" t="str">
        <x:v>Verified by final package audit</x:v>
      </x:c>
      <x:c r="H52" s="2"/>
      <x:c r="I52" s="2"/>
      <x:c r="J52" s="2"/>
      <x:c r="K52" s="2"/>
      <x:c r="L52" s="2"/>
    </x:row>
    <x:row r="53">
      <x:c r="C53" s="32" t="str">
        <x:v>Circular iteration</x:v>
      </x:c>
      <x:c r="D53" s="160" t="n">
        <x:v>0</x:v>
      </x:c>
      <x:c r="E53" s="160" t="n">
        <x:v>0</x:v>
      </x:c>
      <x:c r="F53" s="32" t="str">
        <x:f>IF(ABS(D53)&lt;=E53,"PASS","FAIL")</x:f>
        <x:v>PASS</x:v>
      </x:c>
      <x:c r="G53" s="161" t="str">
        <x:v>Verified by final package audit</x:v>
      </x:c>
      <x:c r="H53" s="2"/>
      <x:c r="I53" s="2"/>
      <x:c r="J53" s="2"/>
      <x:c r="K53" s="2"/>
      <x:c r="L53" s="2"/>
    </x:row>
    <x:row r="54">
      <x:c r="C54" s="32" t="str">
        <x:v>Volatile formulas</x:v>
      </x:c>
      <x:c r="D54" s="160" t="n">
        <x:v>0</x:v>
      </x:c>
      <x:c r="E54" s="160" t="n">
        <x:v>0</x:v>
      </x:c>
      <x:c r="F54" s="32" t="str">
        <x:f>IF(ABS(D54)&lt;=E54,"PASS","FAIL")</x:f>
        <x:v>PASS</x:v>
      </x:c>
      <x:c r="G54" s="161" t="str">
        <x:v>Verified by final formula audit</x:v>
      </x:c>
      <x:c r="H54" s="2"/>
      <x:c r="I54" s="2"/>
      <x:c r="J54" s="2"/>
      <x:c r="K54" s="2"/>
      <x:c r="L54" s="2"/>
    </x:row>
    <x:row r="55">
      <x:c r="C55" s="32" t="str">
        <x:v>Formulas outside Checks referencing Checks</x:v>
      </x:c>
      <x:c r="D55" s="160" t="n">
        <x:v>0</x:v>
      </x:c>
      <x:c r="E55" s="160" t="n">
        <x:v>0</x:v>
      </x:c>
      <x:c r="F55" s="32" t="str">
        <x:f>IF(ABS(D55)&lt;=E55,"PASS","FAIL")</x:f>
        <x:v>PASS</x:v>
      </x:c>
      <x:c r="G55" s="161" t="str">
        <x:v>Verified by final formula audit</x:v>
      </x:c>
      <x:c r="H55" s="2"/>
      <x:c r="I55" s="2"/>
      <x:c r="J55" s="2"/>
      <x:c r="K55" s="2"/>
      <x:c r="L55" s="2"/>
    </x:row>
    <x:row r="56">
      <x:c r="C56" s="165" t="str">
        <x:v>Budget references to actuals or later-phase tabs</x:v>
      </x:c>
      <x:c r="D56" s="166" t="n">
        <x:v>0</x:v>
      </x:c>
      <x:c r="E56" s="166" t="n">
        <x:v>0</x:v>
      </x:c>
      <x:c r="F56" s="165" t="str">
        <x:f>IF(ABS(D56)&lt;=E56,"PASS","FAIL")</x:f>
        <x:v>PASS</x:v>
      </x:c>
      <x:c r="G56" s="167" t="str">
        <x:v>Verified by final formula audit</x:v>
      </x:c>
      <x:c r="H56" s="2"/>
      <x:c r="I56" s="2"/>
      <x:c r="J56" s="2"/>
      <x:c r="K56" s="2"/>
      <x:c r="L56" s="2"/>
    </x:row>
  </x:sheetData>
  <x:conditionalFormatting sqref="F8:F56">
    <x:cfRule type="containsText" dxfId="0" priority="1" operator="containsText" text="FAIL"/>
    <x:cfRule type="containsErrors" dxfId="1" priority="2"/>
  </x:conditionalFormatting>
  <x:conditionalFormatting sqref="L8:L19">
    <x:cfRule type="containsText" dxfId="2" priority="3" operator="containsText" text="FAIL"/>
  </x:conditionalFormatting>
  <x:conditionalFormatting sqref="D4:D4">
    <x:cfRule type="containsText" dxfId="3" priority="4" operator="containsText" text="FAIL"/>
  </x:conditionalFormatting>
  <x:pageMargins left="0.7" right="0.7" top="0.75" bottom="0.75" header="0.3" footer="0.3"/>
</x:worksheet>
</file>