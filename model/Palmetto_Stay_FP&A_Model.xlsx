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e8482e82234a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eeb2101aa8a54285"/>
    <x:sheet xmlns:r="http://schemas.openxmlformats.org/officeDocument/2006/relationships" name="Data" sheetId="2" r:id="R01c63c7337bf4264"/>
    <x:sheet xmlns:r="http://schemas.openxmlformats.org/officeDocument/2006/relationships" name="Assumptions" sheetId="3" r:id="R2b58914c864344dc"/>
    <x:sheet xmlns:r="http://schemas.openxmlformats.org/officeDocument/2006/relationships" name="Budget" sheetId="4" r:id="R81f85f000152479a"/>
    <x:sheet xmlns:r="http://schemas.openxmlformats.org/officeDocument/2006/relationships" name="Forecast" sheetId="5" r:id="R5215ce7ce12a4169"/>
    <x:sheet xmlns:r="http://schemas.openxmlformats.org/officeDocument/2006/relationships" name="Variance" sheetId="6" r:id="Refeeb528ae3b4009"/>
    <x:sheet xmlns:r="http://schemas.openxmlformats.org/officeDocument/2006/relationships" name="Review" sheetId="7" r:id="R015eae95b4bc41ed"/>
    <x:sheet xmlns:r="http://schemas.openxmlformats.org/officeDocument/2006/relationships" name="Checks" sheetId="8" r:id="Rdd1b7751cb8c41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6">
    <x:numFmt numFmtId="200" formatCode="mm/dd/yy"/>
    <x:numFmt numFmtId="201" formatCode="&quot;$&quot;#,##0.00;(&quot;$&quot;#,##0.00);-"/>
    <x:numFmt numFmtId="202" formatCode="#,##0"/>
    <x:numFmt numFmtId="203" formatCode="#,##0.00"/>
    <x:numFmt numFmtId="204" formatCode="0.0"/>
    <x:numFmt numFmtId="205" formatCode="0.0%"/>
    <x:numFmt numFmtId="206" formatCode="&quot;$&quot;#,##0.00"/>
    <x:numFmt numFmtId="207" formatCode="0.00"/>
    <x:numFmt numFmtId="208" formatCode="mmm-yy"/>
    <x:numFmt numFmtId="209" formatCode="#,##0;(#,##0);-"/>
    <x:numFmt numFmtId="210" formatCode="#,##0.0;(#,##0.0);-"/>
    <x:numFmt numFmtId="211" formatCode="&quot;$&quot;#,##0;(&quot;$&quot;#,##0);-"/>
    <x:numFmt numFmtId="212" formatCode="mmm d, yyyy"/>
    <x:numFmt numFmtId="213" formatCode="0.0 &quot;pp&quot;"/>
    <x:numFmt numFmtId="214" formatCode="#,##0.0"/>
    <x:numFmt numFmtId="215" formatCode="0.0000000"/>
  </x:numFmts>
  <x:fonts count="24">
    <x:font>
      <x:sz val="11"/>
      <x:name val="Carlito"/>
    </x:font>
    <x:font>
      <x:sz val="10"/>
      <x:color rgb="FF1F2937"/>
      <x:name val="Arial"/>
    </x:font>
    <x:font>
      <x:b/>
      <x:sz val="15"/>
      <x:color rgb="FF17365D"/>
      <x:name val="Arial"/>
    </x:font>
    <x:font>
      <x:b/>
      <x:sz val="10"/>
      <x:color rgb="FF17365D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i/>
      <x:sz val="10"/>
      <x:color rgb="FF667085"/>
      <x:name val="Arial"/>
    </x:font>
    <x:font>
      <x:i/>
      <x:sz val="9"/>
      <x:color rgb="FF667085"/>
      <x:name val="Arial"/>
    </x:font>
    <x:font>
      <x:b/>
      <x:sz val="10"/>
      <x:color rgb="FF1F2937"/>
      <x:name val="Arial"/>
    </x:font>
    <x:font>
      <x:i/>
      <x:sz val="10"/>
      <x:color rgb="FF1F2937"/>
      <x:name val="Arial"/>
    </x:font>
    <x:font>
      <x:b/>
      <x:i/>
      <x:sz val="10"/>
      <x:color rgb="FF1F2937"/>
      <x:name val="Arial"/>
    </x:font>
    <x:font>
      <x:sz val="10"/>
      <x:color rgb="FF008000"/>
      <x:name val="Arial"/>
    </x:font>
    <x:font>
      <x:i/>
      <x:sz val="10"/>
      <x:color rgb="FF008000"/>
      <x:name val="Arial"/>
    </x:font>
    <x:font>
      <x:b/>
      <x:sz val="12"/>
      <x:color rgb="FF17365D"/>
      <x:name val="Arial"/>
    </x:font>
    <x:font>
      <x:b/>
      <x:sz val="11"/>
      <x:color rgb="FF17365D"/>
      <x:name val="Arial"/>
    </x:font>
    <x:font>
      <x:sz val="10"/>
      <x:color rgb="FF303846"/>
      <x:name val="Arial"/>
    </x:font>
    <x:font>
      <x:b/>
      <x:sz val="14"/>
      <x:color rgb="FF17365D"/>
      <x:name val="Arial"/>
    </x:font>
    <x:font>
      <x:i/>
      <x:sz val="10"/>
      <x:color rgb="FF303846"/>
      <x:name val="Arial"/>
    </x:font>
    <x:font>
      <x:b/>
      <x:sz val="10"/>
      <x:color rgb="FF303846"/>
      <x:name val="Arial"/>
    </x:font>
    <x:font>
      <x:b/>
      <x:sz val="10"/>
      <x:color rgb="FF008000"/>
      <x:name val="Arial"/>
    </x:font>
    <x:font>
      <x:b/>
      <x:i/>
      <x:sz val="10"/>
      <x:color rgb="FF303846"/>
      <x:name val="Arial"/>
    </x:font>
    <x:font>
      <x:b/>
      <x:i/>
      <x:sz val="10"/>
      <x:color rgb="FF008000"/>
      <x:name val="Arial"/>
    </x:font>
    <x:font>
      <x:b/>
      <x:sz val="9"/>
      <x:color rgb="FFFFFFFF"/>
      <x:name val="Arial"/>
    </x:font>
  </x:fonts>
  <x:fills count="2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D9EAF0"/>
      </x:patternFill>
    </x:fill>
    <x:fill>
      <x:patternFill patternType="solid">
        <x:fgColor rgb="FFF2F2F2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1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37">
    <x:border/>
    <x:border>
      <x:left style="medium">
        <x:color rgb="FFD6B656"/>
      </x:left>
      <x:top style="medium">
        <x:color rgb="FFD6B656"/>
      </x:top>
    </x:border>
    <x:border>
      <x:top style="medium">
        <x:color rgb="FFD6B656"/>
      </x:top>
    </x:border>
    <x:border>
      <x:right style="medium">
        <x:color rgb="FFD6B656"/>
      </x:right>
      <x:top style="medium">
        <x:color rgb="FFD6B656"/>
      </x:top>
    </x:border>
    <x:border>
      <x:left style="medium">
        <x:color rgb="FFD6B656"/>
      </x:left>
      <x:bottom style="medium">
        <x:color rgb="FFD6B656"/>
      </x:bottom>
    </x:border>
    <x:border>
      <x:bottom style="medium">
        <x:color rgb="FFD6B656"/>
      </x:bottom>
    </x:border>
    <x:border>
      <x:right style="medium">
        <x:color rgb="FFD6B656"/>
      </x:right>
      <x:bottom style="medium">
        <x:color rgb="FFD6B65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B7C3D0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B7C3D0"/>
      </x:left>
      <x:top style="thin">
        <x:color rgb="FFB7C3D0"/>
      </x:top>
      <x:bottom style="thin">
        <x:color rgb="FFB7C3D0"/>
      </x:bottom>
    </x:border>
    <x:border>
      <x:top style="thin">
        <x:color rgb="FFB7C3D0"/>
      </x:top>
      <x:bottom style="thin">
        <x:color rgb="FFB7C3D0"/>
      </x:bottom>
    </x:border>
    <x:border>
      <x:right style="thin">
        <x:color rgb="FFB7C3D0"/>
      </x:right>
      <x:top style="thin">
        <x:color rgb="FFB7C3D0"/>
      </x:top>
      <x:bottom style="thin">
        <x:color rgb="FFB7C3D0"/>
      </x:bottom>
    </x:border>
    <x:border>
      <x:bottom style="thin">
        <x:color rgb="FF17365D"/>
      </x:bottom>
    </x:border>
    <x:border>
      <x:bottom style="double">
        <x:color rgb="FF17365D"/>
      </x:bottom>
    </x:border>
    <x:border>
      <x:left style="thin">
        <x:color rgb="FFB7C3D0"/>
      </x:left>
      <x:top style="thin">
        <x:color rgb="FFB7C3D0"/>
      </x:top>
    </x:border>
    <x:border>
      <x:top style="thin">
        <x:color rgb="FFB7C3D0"/>
      </x:top>
    </x:border>
    <x:border>
      <x:right style="thin">
        <x:color rgb="FFB7C3D0"/>
      </x:right>
      <x:top style="thin">
        <x:color rgb="FFB7C3D0"/>
      </x:top>
    </x:border>
    <x:border>
      <x:left style="thin">
        <x:color rgb="FFB7C3D0"/>
      </x:left>
      <x:bottom style="thin">
        <x:color rgb="FFB7C3D0"/>
      </x:bottom>
    </x:border>
    <x:border>
      <x:bottom style="thin">
        <x:color rgb="FFB7C3D0"/>
      </x:bottom>
    </x:border>
    <x:border>
      <x:right style="thin">
        <x:color rgb="FFB7C3D0"/>
      </x:right>
      <x:bottom style="thin">
        <x:color rgb="FFB7C3D0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top style="thin">
        <x:color rgb="FFD9E2F3"/>
      </x:top>
    </x:border>
    <x:border>
      <x:left style="thin">
        <x:color rgb="FFB4C7DC"/>
      </x:left>
      <x:top style="thin">
        <x:color rgb="FFB4C7DC"/>
      </x:top>
      <x:bottom style="thin">
        <x:color rgb="FFB4C7DC"/>
      </x:bottom>
    </x:border>
    <x:border>
      <x:top style="thin">
        <x:color rgb="FFB4C7DC"/>
      </x:top>
      <x:bottom style="thin">
        <x:color rgb="FFB4C7DC"/>
      </x:bottom>
    </x:border>
    <x:border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6E0EB"/>
      </x:bottom>
    </x:border>
    <x:border>
      <x:top style="thin">
        <x:color rgb="FFD6E0EB"/>
      </x:top>
      <x:bottom style="thin">
        <x:color rgb="FFD6E0EB"/>
      </x:bottom>
    </x:border>
    <x:border>
      <x:top style="thin">
        <x:color rgb="FFD6E0EB"/>
      </x:top>
      <x:bottom style="thin">
        <x:color rgb="FFB4C7DC"/>
      </x:bottom>
    </x:border>
    <x:border>
      <x:bottom style="thin">
        <x:color rgb="FFB4C7DC"/>
      </x:bottom>
    </x:border>
  </x:borders>
  <x:cellStyleXfs count="1">
    <x:xf numFmtId="0" fontId="0" fillId="0" borderId="0"/>
  </x:cellStyleXfs>
  <x:cellXfs count="4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/>
    <x:xf numFmtId="0" fontId="3" fillId="2" borderId="6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3" borderId="7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horizontal="center" vertical="center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1" fillId="4" borderId="8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200" fontId="1" fillId="4" borderId="8" xfId="0" applyNumberFormat="1" applyFont="1" applyFill="1" applyBorder="1" applyAlignment="1">
      <x:alignment vertical="center"/>
    </x:xf>
    <x:xf numFmtId="200" fontId="1" fillId="4" borderId="9" xfId="0" applyNumberFormat="1" applyFont="1" applyFill="1" applyBorder="1" applyAlignment="1">
      <x:alignment vertical="center"/>
    </x:xf>
    <x:xf numFmtId="201" fontId="1" fillId="4" borderId="8" xfId="0" applyNumberFormat="1" applyFont="1" applyFill="1" applyBorder="1" applyAlignment="1">
      <x:alignment vertical="center"/>
    </x:xf>
    <x:xf numFmtId="201" fontId="1" fillId="4" borderId="9" xfId="0" applyNumberFormat="1" applyFont="1" applyFill="1" applyBorder="1" applyAlignment="1">
      <x:alignment vertical="center"/>
    </x:xf>
    <x:xf numFmtId="202" fontId="1" fillId="4" borderId="8" xfId="0" applyNumberFormat="1" applyFont="1" applyFill="1" applyBorder="1" applyAlignment="1">
      <x:alignment vertical="center"/>
    </x:xf>
    <x:xf numFmtId="202" fontId="1" fillId="4" borderId="9" xfId="0" applyNumberFormat="1" applyFont="1" applyFill="1" applyBorder="1" applyAlignment="1">
      <x:alignment vertical="center"/>
    </x:xf>
    <x:xf numFmtId="203" fontId="1" fillId="4" borderId="8" xfId="0" applyNumberFormat="1" applyFont="1" applyFill="1" applyBorder="1" applyAlignment="1">
      <x:alignment vertical="center"/>
    </x:xf>
    <x:xf numFmtId="203" fontId="1" fillId="4" borderId="9" xfId="0" applyNumberFormat="1" applyFont="1" applyFill="1" applyBorder="1" applyAlignment="1">
      <x:alignment vertical="center"/>
    </x:xf>
    <x:xf numFmtId="204" fontId="1" fillId="4" borderId="8" xfId="0" applyNumberFormat="1" applyFont="1" applyFill="1" applyBorder="1" applyAlignment="1">
      <x:alignment vertical="center"/>
    </x:xf>
    <x:xf numFmtId="204" fontId="1" fillId="4" borderId="9" xfId="0" applyNumberFormat="1" applyFont="1" applyFill="1" applyBorder="1" applyAlignment="1">
      <x:alignment vertical="center"/>
    </x:xf>
    <x:xf numFmtId="0" fontId="1" fillId="4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1" fillId="2" borderId="8" xfId="0" applyNumberFormat="1" applyFont="1" applyFill="1" applyBorder="1" applyAlignment="1">
      <x:alignment vertical="center"/>
    </x:xf>
    <x:xf numFmtId="0" fontId="1" fillId="2" borderId="9" xfId="0" applyNumberFormat="1" applyFont="1" applyFill="1" applyBorder="1" applyAlignment="1">
      <x:alignment vertical="center"/>
    </x:xf>
    <x:xf numFmtId="0" fontId="5" fillId="2" borderId="8" xfId="0" applyNumberFormat="1" applyFont="1" applyFill="1" applyBorder="1" applyAlignment="1">
      <x:alignment vertical="center"/>
    </x:xf>
    <x:xf numFmtId="0" fontId="5" fillId="2" borderId="9" xfId="0" applyNumberFormat="1" applyFont="1" applyFill="1" applyBorder="1" applyAlignment="1">
      <x:alignment vertical="center"/>
    </x:xf>
    <x:xf numFmtId="200" fontId="1" fillId="2" borderId="8" xfId="0" applyNumberFormat="1" applyFont="1" applyFill="1" applyBorder="1" applyAlignment="1">
      <x:alignment vertical="center"/>
    </x:xf>
    <x:xf numFmtId="200" fontId="1" fillId="2" borderId="9" xfId="0" applyNumberFormat="1" applyFont="1" applyFill="1" applyBorder="1" applyAlignment="1">
      <x:alignment vertical="center"/>
    </x:xf>
    <x:xf numFmtId="202" fontId="5" fillId="2" borderId="8" xfId="0" applyNumberFormat="1" applyFont="1" applyFill="1" applyBorder="1" applyAlignment="1">
      <x:alignment vertical="center"/>
    </x:xf>
    <x:xf numFmtId="202" fontId="5" fillId="2" borderId="9" xfId="0" applyNumberFormat="1" applyFont="1" applyFill="1" applyBorder="1" applyAlignment="1">
      <x:alignment vertical="center"/>
    </x:xf>
    <x:xf numFmtId="205" fontId="5" fillId="2" borderId="8" xfId="0" applyNumberFormat="1" applyFont="1" applyFill="1" applyBorder="1" applyAlignment="1">
      <x:alignment vertical="center"/>
    </x:xf>
    <x:xf numFmtId="205" fontId="5" fillId="2" borderId="9" xfId="0" applyNumberFormat="1" applyFont="1" applyFill="1" applyBorder="1" applyAlignment="1">
      <x:alignment vertical="center"/>
    </x:xf>
    <x:xf numFmtId="206" fontId="5" fillId="2" borderId="8" xfId="0" applyNumberFormat="1" applyFont="1" applyFill="1" applyBorder="1" applyAlignment="1">
      <x:alignment vertical="center"/>
    </x:xf>
    <x:xf numFmtId="206" fontId="5" fillId="2" borderId="9" xfId="0" applyNumberFormat="1" applyFont="1" applyFill="1" applyBorder="1" applyAlignment="1">
      <x:alignment vertical="center"/>
    </x:xf>
    <x:xf numFmtId="207" fontId="5" fillId="2" borderId="8" xfId="0" applyNumberFormat="1" applyFont="1" applyFill="1" applyBorder="1" applyAlignment="1">
      <x:alignment vertical="center"/>
    </x:xf>
    <x:xf numFmtId="207" fontId="5" fillId="2" borderId="9" xfId="0" applyNumberFormat="1" applyFont="1" applyFill="1" applyBorder="1" applyAlignment="1">
      <x:alignment vertical="center"/>
    </x:xf>
    <x:xf numFmtId="204" fontId="5" fillId="2" borderId="8" xfId="0" applyNumberFormat="1" applyFont="1" applyFill="1" applyBorder="1" applyAlignment="1">
      <x:alignment vertical="center"/>
    </x:xf>
    <x:xf numFmtId="204" fontId="5" fillId="2" borderId="9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vertical="center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0" fontId="4" fillId="3" borderId="10" xfId="0" applyNumberFormat="1" applyFont="1" applyFill="1" applyBorder="1" applyAlignment="1">
      <x:alignment horizontal="center" vertical="center"/>
    </x:xf>
    <x:xf numFmtId="0" fontId="4" fillId="3" borderId="11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horizontal="center" vertical="center"/>
    </x:xf>
    <x:xf numFmtId="208" fontId="4" fillId="3" borderId="1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3" xfId="0" applyNumberFormat="1" applyFont="1" applyFill="1" applyBorder="1" applyAlignment="1">
      <x:alignment vertical="center"/>
    </x:xf>
    <x:xf numFmtId="0" fontId="3" fillId="5" borderId="14" xfId="0" applyNumberFormat="1" applyFont="1" applyFill="1" applyBorder="1" applyAlignment="1">
      <x:alignment vertical="center"/>
    </x:xf>
    <x:xf numFmtId="0" fontId="3" fillId="5" borderId="15" xfId="0" applyNumberFormat="1" applyFont="1" applyFill="1" applyBorder="1" applyAlignment="1">
      <x:alignment vertical="center"/>
    </x:xf>
    <x:xf numFmtId="0" fontId="9" fillId="5" borderId="15" xfId="0" applyNumberFormat="1" applyFont="1" applyFill="1" applyBorder="1" applyAlignment="1">
      <x:alignment vertical="center"/>
    </x:xf>
    <x:xf numFmtId="209" fontId="6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7" fontId="6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11" fontId="6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207" fontId="10" fillId="0" borderId="0" xfId="0" applyNumberFormat="1" applyFont="1" applyFill="1" applyBorder="1" applyAlignment="1">
      <x:alignment vertical="center"/>
    </x:xf>
    <x:xf numFmtId="211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205" fontId="11" fillId="0" borderId="0" xfId="0" applyNumberFormat="1" applyFont="1" applyFill="1" applyBorder="1" applyAlignment="1">
      <x:alignment vertical="center"/>
    </x:xf>
    <x:xf numFmtId="209" fontId="12" fillId="0" borderId="0" xfId="0" applyNumberFormat="1" applyFont="1" applyFill="1" applyBorder="1" applyAlignment="1">
      <x:alignment vertical="center"/>
    </x:xf>
    <x:xf numFmtId="205" fontId="13" fillId="0" borderId="0" xfId="0" applyNumberFormat="1" applyFont="1" applyFill="1" applyBorder="1" applyAlignment="1">
      <x:alignment vertical="center"/>
    </x:xf>
    <x:xf numFmtId="201" fontId="12" fillId="0" borderId="0" xfId="0" applyNumberFormat="1" applyFont="1" applyFill="1" applyBorder="1" applyAlignment="1">
      <x:alignment vertical="center"/>
    </x:xf>
    <x:xf numFmtId="207" fontId="13" fillId="0" borderId="0" xfId="0" applyNumberFormat="1" applyFont="1" applyFill="1" applyBorder="1" applyAlignment="1">
      <x:alignment vertical="center"/>
    </x:xf>
    <x:xf numFmtId="201" fontId="13" fillId="0" borderId="0" xfId="0" applyNumberFormat="1" applyFont="1" applyFill="1" applyBorder="1" applyAlignment="1">
      <x:alignment vertical="center"/>
    </x:xf>
    <x:xf numFmtId="204" fontId="12" fillId="0" borderId="0" xfId="0" applyNumberFormat="1" applyFont="1" applyFill="1" applyBorder="1" applyAlignment="1">
      <x:alignment vertical="center"/>
    </x:xf>
    <x:xf numFmtId="211" fontId="12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211" fontId="9" fillId="0" borderId="0" xfId="0" applyNumberFormat="1" applyFont="1" applyFill="1" applyBorder="1" applyAlignment="1">
      <x:alignment vertical="center"/>
    </x:xf>
    <x:xf numFmtId="0" fontId="9" fillId="0" borderId="16" xfId="0" applyNumberFormat="1" applyFont="1" applyFill="1" applyBorder="1" applyAlignment="1">
      <x:alignment vertical="center"/>
    </x:xf>
    <x:xf numFmtId="211" fontId="9" fillId="0" borderId="16" xfId="0" applyNumberFormat="1" applyFont="1" applyFill="1" applyBorder="1" applyAlignment="1">
      <x:alignment vertical="center"/>
    </x:xf>
    <x:xf numFmtId="0" fontId="9" fillId="0" borderId="17" xfId="0" applyNumberFormat="1" applyFont="1" applyFill="1" applyBorder="1" applyAlignment="1">
      <x:alignment vertical="center"/>
    </x:xf>
    <x:xf numFmtId="211" fontId="9" fillId="0" borderId="17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4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/>
    <x:xf numFmtId="0" fontId="14" fillId="6" borderId="18" xfId="0" applyNumberFormat="1" applyFont="1" applyFill="1" applyBorder="1" applyAlignment="1">
      <x:alignment vertical="center"/>
    </x:xf>
    <x:xf numFmtId="0" fontId="14" fillId="6" borderId="19" xfId="0" applyNumberFormat="1" applyFont="1" applyFill="1" applyBorder="1"/>
    <x:xf numFmtId="0" fontId="14" fillId="6" borderId="20" xfId="0" applyNumberFormat="1" applyFont="1" applyFill="1" applyBorder="1"/>
    <x:xf numFmtId="0" fontId="14" fillId="6" borderId="21" xfId="0" applyNumberFormat="1" applyFont="1" applyFill="1" applyBorder="1" applyAlignment="1">
      <x:alignment vertical="center"/>
    </x:xf>
    <x:xf numFmtId="0" fontId="14" fillId="6" borderId="22" xfId="0" applyNumberFormat="1" applyFont="1" applyFill="1" applyBorder="1"/>
    <x:xf numFmtId="0" fontId="14" fillId="6" borderId="23" xfId="0" applyNumberFormat="1" applyFont="1" applyFill="1" applyBorder="1"/>
    <x:xf numFmtId="0" fontId="14" fillId="6" borderId="18" xfId="0" applyNumberFormat="1" applyFont="1" applyFill="1" applyBorder="1" applyAlignment="1">
      <x:alignment horizontal="center" vertical="center"/>
    </x:xf>
    <x:xf numFmtId="0" fontId="14" fillId="6" borderId="19" xfId="0" applyNumberFormat="1" applyFont="1" applyFill="1" applyBorder="1" applyAlignment="1">
      <x:alignment horizontal="center"/>
    </x:xf>
    <x:xf numFmtId="0" fontId="14" fillId="6" borderId="20" xfId="0" applyNumberFormat="1" applyFont="1" applyFill="1" applyBorder="1" applyAlignment="1">
      <x:alignment horizontal="center"/>
    </x:xf>
    <x:xf numFmtId="0" fontId="14" fillId="6" borderId="21" xfId="0" applyNumberFormat="1" applyFont="1" applyFill="1" applyBorder="1" applyAlignment="1">
      <x:alignment horizontal="center" vertical="center"/>
    </x:xf>
    <x:xf numFmtId="0" fontId="14" fillId="6" borderId="22" xfId="0" applyNumberFormat="1" applyFont="1" applyFill="1" applyBorder="1" applyAlignment="1">
      <x:alignment horizontal="center"/>
    </x:xf>
    <x:xf numFmtId="0" fontId="14" fillId="6" borderId="23" xfId="0" applyNumberFormat="1" applyFont="1" applyFill="1" applyBorder="1" applyAlignment="1">
      <x:alignment horizontal="center"/>
    </x:xf>
    <x:xf numFmtId="0" fontId="14" fillId="6" borderId="19" xfId="0" applyNumberFormat="1" applyFont="1" applyFill="1" applyBorder="1" applyAlignment="1">
      <x:alignment horizontal="center" vertical="center"/>
    </x:xf>
    <x:xf numFmtId="0" fontId="14" fillId="6" borderId="20" xfId="0" applyNumberFormat="1" applyFont="1" applyFill="1" applyBorder="1" applyAlignment="1">
      <x:alignment horizontal="center" vertical="center"/>
    </x:xf>
    <x:xf numFmtId="0" fontId="14" fillId="6" borderId="22" xfId="0" applyNumberFormat="1" applyFont="1" applyFill="1" applyBorder="1" applyAlignment="1">
      <x:alignment horizontal="center" vertical="center"/>
    </x:xf>
    <x:xf numFmtId="0" fontId="14" fillId="6" borderId="23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vertical="center"/>
    </x:xf>
    <x:xf numFmtId="0" fontId="15" fillId="6" borderId="24" xfId="0" applyNumberFormat="1" applyFont="1" applyFill="1" applyBorder="1" applyAlignment="1">
      <x:alignment vertical="center"/>
    </x:xf>
    <x:xf numFmtId="0" fontId="15" fillId="6" borderId="25" xfId="0" applyNumberFormat="1" applyFont="1" applyFill="1" applyBorder="1" applyAlignment="1">
      <x:alignment vertical="center"/>
    </x:xf>
    <x:xf numFmtId="0" fontId="3" fillId="5" borderId="13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vertical="center" wrapText="1"/>
    </x:xf>
    <x:xf numFmtId="0" fontId="3" fillId="5" borderId="15" xfId="0" applyNumberFormat="1" applyFont="1" applyFill="1" applyBorder="1" applyAlignment="1">
      <x:alignment vertical="center" wrapText="1"/>
    </x:xf>
    <x:xf numFmtId="0" fontId="3" fillId="5" borderId="14" xfId="0" applyNumberFormat="1" applyFont="1" applyFill="1" applyBorder="1" applyAlignment="1">
      <x:alignment horizontal="center" vertical="center" wrapText="1"/>
    </x:xf>
    <x:xf numFmtId="0" fontId="3" fillId="5" borderId="15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7" fontId="3" fillId="5" borderId="14" xfId="0" applyNumberFormat="1" applyFont="1" applyFill="1" applyBorder="1" applyAlignment="1">
      <x:alignment horizontal="center" vertical="center" wrapText="1"/>
    </x:xf>
    <x:xf numFmtId="207" fontId="1" fillId="0" borderId="7" xfId="0" applyNumberFormat="1" applyFont="1" applyFill="1" applyBorder="1" applyAlignment="1">
      <x:alignment vertical="center"/>
    </x:xf>
    <x:xf numFmtId="207" fontId="1" fillId="0" borderId="8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 wrapText="1"/>
    </x:xf>
    <x:xf numFmtId="0" fontId="3" fillId="5" borderId="8" xfId="0" applyNumberFormat="1" applyFont="1" applyFill="1" applyBorder="1" applyAlignment="1">
      <x:alignment vertical="center" wrapText="1"/>
    </x:xf>
    <x:xf numFmtId="207" fontId="3" fillId="5" borderId="8" xfId="0" applyNumberFormat="1" applyFont="1" applyFill="1" applyBorder="1" applyAlignment="1">
      <x:alignment horizontal="center" vertical="center" wrapText="1"/>
    </x:xf>
    <x:xf numFmtId="0" fontId="3" fillId="5" borderId="8" xfId="0" applyNumberFormat="1" applyFont="1" applyFill="1" applyBorder="1" applyAlignment="1">
      <x:alignment horizontal="center" vertical="center" wrapText="1"/>
    </x:xf>
    <x:xf numFmtId="0" fontId="1" fillId="0" borderId="26" xfId="0" applyNumberFormat="1" applyFont="1" applyFill="1" applyBorder="1" applyAlignment="1">
      <x:alignment vertical="center"/>
    </x:xf>
    <x:xf numFmtId="207" fontId="1" fillId="0" borderId="26" xfId="0" applyNumberFormat="1" applyFont="1" applyFill="1" applyBorder="1" applyAlignment="1">
      <x:alignment vertical="center"/>
    </x:xf>
    <x:xf numFmtId="0" fontId="1" fillId="0" borderId="26" xfId="0" applyNumberFormat="1" applyFont="1" applyFill="1" applyBorder="1" applyAlignment="1">
      <x:alignment vertical="center" wrapText="1"/>
    </x:xf>
    <x:xf numFmtId="212" fontId="1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 wrapText="0"/>
    </x:xf>
    <x:xf numFmtId="0" fontId="17" fillId="0" borderId="16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16" fillId="7" borderId="0" xfId="0" applyNumberFormat="1" applyFont="1" applyFill="1" applyBorder="1" applyAlignment="1">
      <x:alignment vertical="center" wrapText="0"/>
    </x:xf>
    <x:xf numFmtId="0" fontId="3" fillId="7" borderId="0" xfId="0" applyNumberFormat="1" applyFont="1" applyFill="1" applyBorder="1" applyAlignment="1">
      <x:alignment vertical="center" wrapText="0"/>
    </x:xf>
    <x:xf numFmtId="0" fontId="3" fillId="7" borderId="27" xfId="0" applyNumberFormat="1" applyFont="1" applyFill="1" applyBorder="1" applyAlignment="1">
      <x:alignment vertical="center" wrapText="0"/>
    </x:xf>
    <x:xf numFmtId="0" fontId="3" fillId="7" borderId="28" xfId="0" applyNumberFormat="1" applyFont="1" applyFill="1" applyBorder="1" applyAlignment="1">
      <x:alignment vertical="center" wrapText="0"/>
    </x:xf>
    <x:xf numFmtId="0" fontId="3" fillId="7" borderId="29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212" fontId="16" fillId="0" borderId="0" xfId="0" applyNumberFormat="1" applyFont="1" applyFill="1" applyBorder="1" applyAlignment="1">
      <x:alignment vertical="center" wrapText="0"/>
    </x:xf>
    <x:xf numFmtId="0" fontId="16" fillId="8" borderId="0" xfId="0" applyNumberFormat="1" applyFont="1" applyFill="1" applyBorder="1" applyAlignment="1">
      <x:alignment vertical="center" wrapText="0"/>
    </x:xf>
    <x:xf numFmtId="0" fontId="4" fillId="8" borderId="0" xfId="0" applyNumberFormat="1" applyFont="1" applyFill="1" applyBorder="1" applyAlignment="1">
      <x:alignment vertical="center" wrapText="0"/>
    </x:xf>
    <x:xf numFmtId="0" fontId="4" fillId="8" borderId="0" xfId="0" applyNumberFormat="1" applyFont="1" applyFill="1" applyBorder="1" applyAlignment="1">
      <x:alignment horizontal="center" vertical="center" wrapText="0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4" fillId="8" borderId="30" xfId="0" applyNumberFormat="1" applyFont="1" applyFill="1" applyBorder="1" applyAlignment="1">
      <x:alignment horizontal="center" vertical="center" wrapText="1"/>
    </x:xf>
    <x:xf numFmtId="0" fontId="4" fillId="8" borderId="31" xfId="0" applyNumberFormat="1" applyFont="1" applyFill="1" applyBorder="1" applyAlignment="1">
      <x:alignment horizontal="center" vertical="center" wrapText="1"/>
    </x:xf>
    <x:xf numFmtId="0" fontId="4" fillId="8" borderId="32" xfId="0" applyNumberFormat="1" applyFont="1" applyFill="1" applyBorder="1" applyAlignment="1">
      <x:alignment horizontal="center" vertical="center" wrapText="1"/>
    </x:xf>
    <x:xf numFmtId="208" fontId="4" fillId="8" borderId="31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 wrapText="0"/>
    </x:xf>
    <x:xf numFmtId="202" fontId="6" fillId="0" borderId="0" xfId="0" applyNumberFormat="1" applyFont="1" applyFill="1" applyBorder="1" applyAlignment="1">
      <x:alignment vertical="center" wrapText="0"/>
    </x:xf>
    <x:xf numFmtId="202" fontId="16" fillId="0" borderId="0" xfId="0" applyNumberFormat="1" applyFont="1" applyFill="1" applyBorder="1" applyAlignment="1">
      <x:alignment vertical="center" wrapText="0"/>
    </x:xf>
    <x:xf numFmtId="205" fontId="6" fillId="0" borderId="0" xfId="0" applyNumberFormat="1" applyFont="1" applyFill="1" applyBorder="1" applyAlignment="1">
      <x:alignment vertical="center" wrapText="0"/>
    </x:xf>
    <x:xf numFmtId="205" fontId="16" fillId="0" borderId="0" xfId="0" applyNumberFormat="1" applyFont="1" applyFill="1" applyBorder="1" applyAlignment="1">
      <x:alignment vertical="center" wrapText="0"/>
    </x:xf>
    <x:xf numFmtId="213" fontId="16" fillId="0" borderId="0" xfId="0" applyNumberFormat="1" applyFont="1" applyFill="1" applyBorder="1" applyAlignment="1">
      <x:alignment vertical="center" wrapText="0"/>
    </x:xf>
    <x:xf numFmtId="0" fontId="18" fillId="0" borderId="0" xfId="0" applyNumberFormat="1" applyFont="1" applyFill="1" applyBorder="1" applyAlignment="1">
      <x:alignment vertical="center" wrapText="0"/>
    </x:xf>
    <x:xf numFmtId="205" fontId="13" fillId="0" borderId="0" xfId="0" applyNumberFormat="1" applyFont="1" applyFill="1" applyBorder="1" applyAlignment="1">
      <x:alignment vertical="center" wrapText="0"/>
    </x:xf>
    <x:xf numFmtId="205" fontId="18" fillId="0" borderId="0" xfId="0" applyNumberFormat="1" applyFont="1" applyFill="1" applyBorder="1" applyAlignment="1">
      <x:alignment vertical="center" wrapText="0"/>
    </x:xf>
    <x:xf numFmtId="213" fontId="18" fillId="0" borderId="0" xfId="0" applyNumberFormat="1" applyFont="1" applyFill="1" applyBorder="1" applyAlignment="1">
      <x:alignment vertical="center" wrapText="0"/>
    </x:xf>
    <x:xf numFmtId="214" fontId="6" fillId="0" borderId="0" xfId="0" applyNumberFormat="1" applyFont="1" applyFill="1" applyBorder="1" applyAlignment="1">
      <x:alignment vertical="center" wrapText="0"/>
    </x:xf>
    <x:xf numFmtId="214" fontId="16" fillId="0" borderId="0" xfId="0" applyNumberFormat="1" applyFont="1" applyFill="1" applyBorder="1" applyAlignment="1">
      <x:alignment vertical="center" wrapText="0"/>
    </x:xf>
    <x:xf numFmtId="206" fontId="6" fillId="0" borderId="0" xfId="0" applyNumberFormat="1" applyFont="1" applyFill="1" applyBorder="1" applyAlignment="1">
      <x:alignment vertical="center" wrapText="0"/>
    </x:xf>
    <x:xf numFmtId="206" fontId="16" fillId="0" borderId="0" xfId="0" applyNumberFormat="1" applyFont="1" applyFill="1" applyBorder="1" applyAlignment="1">
      <x:alignment vertical="center" wrapText="0"/>
    </x:xf>
    <x:xf numFmtId="211" fontId="6" fillId="0" borderId="0" xfId="0" applyNumberFormat="1" applyFont="1" applyFill="1" applyBorder="1" applyAlignment="1">
      <x:alignment vertical="center" wrapText="0"/>
    </x:xf>
    <x:xf numFmtId="211" fontId="16" fillId="0" borderId="0" xfId="0" applyNumberFormat="1" applyFont="1" applyFill="1" applyBorder="1" applyAlignment="1">
      <x:alignment vertical="center" wrapText="0"/>
    </x:xf>
    <x:xf numFmtId="0" fontId="19" fillId="0" borderId="0" xfId="0" applyNumberFormat="1" applyFont="1" applyFill="1" applyBorder="1" applyAlignment="1">
      <x:alignment vertical="center" wrapText="0"/>
    </x:xf>
    <x:xf numFmtId="211" fontId="20" fillId="0" borderId="0" xfId="0" applyNumberFormat="1" applyFont="1" applyFill="1" applyBorder="1" applyAlignment="1">
      <x:alignment vertical="center" wrapText="0"/>
    </x:xf>
    <x:xf numFmtId="211" fontId="19" fillId="0" borderId="0" xfId="0" applyNumberFormat="1" applyFont="1" applyFill="1" applyBorder="1" applyAlignment="1">
      <x:alignment vertical="center" wrapText="0"/>
    </x:xf>
    <x:xf numFmtId="0" fontId="19" fillId="0" borderId="17" xfId="0" applyNumberFormat="1" applyFont="1" applyFill="1" applyBorder="1" applyAlignment="1">
      <x:alignment vertical="center" wrapText="0"/>
    </x:xf>
    <x:xf numFmtId="211" fontId="20" fillId="0" borderId="17" xfId="0" applyNumberFormat="1" applyFont="1" applyFill="1" applyBorder="1" applyAlignment="1">
      <x:alignment vertical="center" wrapText="0"/>
    </x:xf>
    <x:xf numFmtId="211" fontId="19" fillId="0" borderId="17" xfId="0" applyNumberFormat="1" applyFont="1" applyFill="1" applyBorder="1" applyAlignment="1">
      <x:alignment vertical="center" wrapText="0"/>
    </x:xf>
    <x:xf numFmtId="207" fontId="6" fillId="0" borderId="0" xfId="0" applyNumberFormat="1" applyFont="1" applyFill="1" applyBorder="1" applyAlignment="1">
      <x:alignment vertical="center" wrapText="0"/>
    </x:xf>
    <x:xf numFmtId="207" fontId="16" fillId="0" borderId="0" xfId="0" applyNumberFormat="1" applyFont="1" applyFill="1" applyBorder="1" applyAlignment="1">
      <x:alignment vertical="center" wrapText="0"/>
    </x:xf>
    <x:xf numFmtId="207" fontId="13" fillId="0" borderId="0" xfId="0" applyNumberFormat="1" applyFont="1" applyFill="1" applyBorder="1" applyAlignment="1">
      <x:alignment vertical="center" wrapText="0"/>
    </x:xf>
    <x:xf numFmtId="207" fontId="18" fillId="0" borderId="0" xfId="0" applyNumberFormat="1" applyFont="1" applyFill="1" applyBorder="1" applyAlignment="1">
      <x:alignment vertical="center" wrapText="0"/>
    </x:xf>
    <x:xf numFmtId="206" fontId="13" fillId="0" borderId="0" xfId="0" applyNumberFormat="1" applyFont="1" applyFill="1" applyBorder="1" applyAlignment="1">
      <x:alignment vertical="center" wrapText="0"/>
    </x:xf>
    <x:xf numFmtId="206" fontId="18" fillId="0" borderId="0" xfId="0" applyNumberFormat="1" applyFont="1" applyFill="1" applyBorder="1" applyAlignment="1">
      <x:alignment vertical="center" wrapText="0"/>
    </x:xf>
    <x:xf numFmtId="204" fontId="6" fillId="0" borderId="0" xfId="0" applyNumberFormat="1" applyFont="1" applyFill="1" applyBorder="1" applyAlignment="1">
      <x:alignment vertical="center" wrapText="0"/>
    </x:xf>
    <x:xf numFmtId="204" fontId="16" fillId="0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vertical="center" wrapText="0"/>
    </x:xf>
    <x:xf numFmtId="205" fontId="22" fillId="0" borderId="0" xfId="0" applyNumberFormat="1" applyFont="1" applyFill="1" applyBorder="1" applyAlignment="1">
      <x:alignment vertical="center" wrapText="0"/>
    </x:xf>
    <x:xf numFmtId="205" fontId="21" fillId="0" borderId="0" xfId="0" applyNumberFormat="1" applyFont="1" applyFill="1" applyBorder="1" applyAlignment="1">
      <x:alignment vertical="center" wrapText="0"/>
    </x:xf>
    <x:xf numFmtId="0" fontId="21" fillId="0" borderId="17" xfId="0" applyNumberFormat="1" applyFont="1" applyFill="1" applyBorder="1" applyAlignment="1">
      <x:alignment vertical="center" wrapText="0"/>
    </x:xf>
    <x:xf numFmtId="205" fontId="22" fillId="0" borderId="17" xfId="0" applyNumberFormat="1" applyFont="1" applyFill="1" applyBorder="1" applyAlignment="1">
      <x:alignment vertical="center" wrapText="0"/>
    </x:xf>
    <x:xf numFmtId="205" fontId="21" fillId="0" borderId="17" xfId="0" applyNumberFormat="1" applyFont="1" applyFill="1" applyBorder="1" applyAlignment="1">
      <x:alignment vertical="center" wrapText="0"/>
    </x:xf>
    <x:xf numFmtId="213" fontId="21" fillId="0" borderId="0" xfId="0" applyNumberFormat="1" applyFont="1" applyFill="1" applyBorder="1" applyAlignment="1">
      <x:alignment vertical="center" wrapText="0"/>
    </x:xf>
    <x:xf numFmtId="213" fontId="21" fillId="0" borderId="17" xfId="0" applyNumberFormat="1" applyFont="1" applyFill="1" applyBorder="1" applyAlignment="1">
      <x:alignment vertical="center" wrapText="0"/>
    </x:xf>
    <x:xf numFmtId="0" fontId="16" fillId="0" borderId="33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2" fontId="16" fillId="0" borderId="33" xfId="0" applyNumberFormat="1" applyFont="1" applyFill="1" applyBorder="1" applyAlignment="1">
      <x:alignment vertical="center" wrapText="0"/>
    </x:xf>
    <x:xf numFmtId="0" fontId="16" fillId="0" borderId="34" xfId="0" applyNumberFormat="1" applyFont="1" applyFill="1" applyBorder="1" applyAlignment="1">
      <x:alignment vertical="center" wrapText="0"/>
    </x:xf>
    <x:xf numFmtId="202" fontId="6" fillId="0" borderId="34" xfId="0" applyNumberFormat="1" applyFont="1" applyFill="1" applyBorder="1" applyAlignment="1">
      <x:alignment vertical="center" wrapText="0"/>
    </x:xf>
    <x:xf numFmtId="202" fontId="16" fillId="0" borderId="34" xfId="0" applyNumberFormat="1" applyFont="1" applyFill="1" applyBorder="1" applyAlignment="1">
      <x:alignment vertical="center" wrapText="0"/>
    </x:xf>
    <x:xf numFmtId="0" fontId="18" fillId="0" borderId="34" xfId="0" applyNumberFormat="1" applyFont="1" applyFill="1" applyBorder="1" applyAlignment="1">
      <x:alignment vertical="center" wrapText="0"/>
    </x:xf>
    <x:xf numFmtId="205" fontId="13" fillId="0" borderId="34" xfId="0" applyNumberFormat="1" applyFont="1" applyFill="1" applyBorder="1" applyAlignment="1">
      <x:alignment vertical="center" wrapText="0"/>
    </x:xf>
    <x:xf numFmtId="205" fontId="18" fillId="0" borderId="34" xfId="0" applyNumberFormat="1" applyFont="1" applyFill="1" applyBorder="1" applyAlignment="1">
      <x:alignment vertical="center" wrapText="0"/>
    </x:xf>
    <x:xf numFmtId="214" fontId="6" fillId="0" borderId="34" xfId="0" applyNumberFormat="1" applyFont="1" applyFill="1" applyBorder="1" applyAlignment="1">
      <x:alignment vertical="center" wrapText="0"/>
    </x:xf>
    <x:xf numFmtId="214" fontId="16" fillId="0" borderId="34" xfId="0" applyNumberFormat="1" applyFont="1" applyFill="1" applyBorder="1" applyAlignment="1">
      <x:alignment vertical="center" wrapText="0"/>
    </x:xf>
    <x:xf numFmtId="206" fontId="6" fillId="0" borderId="34" xfId="0" applyNumberFormat="1" applyFont="1" applyFill="1" applyBorder="1" applyAlignment="1">
      <x:alignment vertical="center" wrapText="0"/>
    </x:xf>
    <x:xf numFmtId="206" fontId="16" fillId="0" borderId="34" xfId="0" applyNumberFormat="1" applyFont="1" applyFill="1" applyBorder="1" applyAlignment="1">
      <x:alignment vertical="center" wrapText="0"/>
    </x:xf>
    <x:xf numFmtId="211" fontId="6" fillId="0" borderId="34" xfId="0" applyNumberFormat="1" applyFont="1" applyFill="1" applyBorder="1" applyAlignment="1">
      <x:alignment vertical="center" wrapText="0"/>
    </x:xf>
    <x:xf numFmtId="211" fontId="16" fillId="0" borderId="34" xfId="0" applyNumberFormat="1" applyFont="1" applyFill="1" applyBorder="1" applyAlignment="1">
      <x:alignment vertical="center" wrapText="0"/>
    </x:xf>
    <x:xf numFmtId="0" fontId="19" fillId="0" borderId="34" xfId="0" applyNumberFormat="1" applyFont="1" applyFill="1" applyBorder="1" applyAlignment="1">
      <x:alignment vertical="center" wrapText="0"/>
    </x:xf>
    <x:xf numFmtId="211" fontId="20" fillId="0" borderId="34" xfId="0" applyNumberFormat="1" applyFont="1" applyFill="1" applyBorder="1" applyAlignment="1">
      <x:alignment vertical="center" wrapText="0"/>
    </x:xf>
    <x:xf numFmtId="211" fontId="19" fillId="0" borderId="34" xfId="0" applyNumberFormat="1" applyFont="1" applyFill="1" applyBorder="1" applyAlignment="1">
      <x:alignment vertical="center" wrapText="0"/>
    </x:xf>
    <x:xf numFmtId="207" fontId="13" fillId="0" borderId="34" xfId="0" applyNumberFormat="1" applyFont="1" applyFill="1" applyBorder="1" applyAlignment="1">
      <x:alignment vertical="center" wrapText="0"/>
    </x:xf>
    <x:xf numFmtId="207" fontId="18" fillId="0" borderId="34" xfId="0" applyNumberFormat="1" applyFont="1" applyFill="1" applyBorder="1" applyAlignment="1">
      <x:alignment vertical="center" wrapText="0"/>
    </x:xf>
    <x:xf numFmtId="206" fontId="13" fillId="0" borderId="34" xfId="0" applyNumberFormat="1" applyFont="1" applyFill="1" applyBorder="1" applyAlignment="1">
      <x:alignment vertical="center" wrapText="0"/>
    </x:xf>
    <x:xf numFmtId="206" fontId="18" fillId="0" borderId="34" xfId="0" applyNumberFormat="1" applyFont="1" applyFill="1" applyBorder="1" applyAlignment="1">
      <x:alignment vertical="center" wrapText="0"/>
    </x:xf>
    <x:xf numFmtId="204" fontId="6" fillId="0" borderId="34" xfId="0" applyNumberFormat="1" applyFont="1" applyFill="1" applyBorder="1" applyAlignment="1">
      <x:alignment vertical="center" wrapText="0"/>
    </x:xf>
    <x:xf numFmtId="204" fontId="16" fillId="0" borderId="34" xfId="0" applyNumberFormat="1" applyFont="1" applyFill="1" applyBorder="1" applyAlignment="1">
      <x:alignment vertical="center" wrapText="0"/>
    </x:xf>
    <x:xf numFmtId="0" fontId="21" fillId="0" borderId="35" xfId="0" applyNumberFormat="1" applyFont="1" applyFill="1" applyBorder="1" applyAlignment="1">
      <x:alignment vertical="center" wrapText="0"/>
    </x:xf>
    <x:xf numFmtId="205" fontId="22" fillId="0" borderId="35" xfId="0" applyNumberFormat="1" applyFont="1" applyFill="1" applyBorder="1" applyAlignment="1">
      <x:alignment vertical="center" wrapText="0"/>
    </x:xf>
    <x:xf numFmtId="205" fontId="21" fillId="0" borderId="35" xfId="0" applyNumberFormat="1" applyFont="1" applyFill="1" applyBorder="1" applyAlignment="1">
      <x:alignment vertical="center" wrapText="0"/>
    </x:xf>
    <x:xf numFmtId="213" fontId="18" fillId="0" borderId="34" xfId="0" applyNumberFormat="1" applyFont="1" applyFill="1" applyBorder="1" applyAlignment="1">
      <x:alignment vertical="center" wrapText="0"/>
    </x:xf>
    <x:xf numFmtId="213" fontId="21" fillId="0" borderId="35" xfId="0" applyNumberFormat="1" applyFont="1" applyFill="1" applyBorder="1" applyAlignment="1">
      <x:alignment vertical="center" wrapText="0"/>
    </x:xf>
    <x:xf numFmtId="205" fontId="19" fillId="0" borderId="0" xfId="0" applyNumberFormat="1" applyFont="1" applyFill="1" applyBorder="1" applyAlignment="1">
      <x:alignment vertical="center" wrapText="0"/>
    </x:xf>
    <x:xf numFmtId="205" fontId="19" fillId="0" borderId="17" xfId="0" applyNumberFormat="1" applyFont="1" applyFill="1" applyBorder="1" applyAlignment="1">
      <x:alignment vertical="center" wrapText="0"/>
    </x:xf>
    <x:xf numFmtId="205" fontId="16" fillId="0" borderId="33" xfId="0" applyNumberFormat="1" applyFont="1" applyFill="1" applyBorder="1" applyAlignment="1">
      <x:alignment vertical="center" wrapText="0"/>
    </x:xf>
    <x:xf numFmtId="205" fontId="16" fillId="0" borderId="34" xfId="0" applyNumberFormat="1" applyFont="1" applyFill="1" applyBorder="1" applyAlignment="1">
      <x:alignment vertical="center" wrapText="0"/>
    </x:xf>
    <x:xf numFmtId="0" fontId="16" fillId="0" borderId="35" xfId="0" applyNumberFormat="1" applyFont="1" applyFill="1" applyBorder="1" applyAlignment="1">
      <x:alignment vertical="center" wrapText="0"/>
    </x:xf>
    <x:xf numFmtId="206" fontId="16" fillId="0" borderId="35" xfId="0" applyNumberFormat="1" applyFont="1" applyFill="1" applyBorder="1" applyAlignment="1">
      <x:alignment vertical="center" wrapText="0"/>
    </x:xf>
    <x:xf numFmtId="205" fontId="16" fillId="0" borderId="35" xfId="0" applyNumberFormat="1" applyFont="1" applyFill="1" applyBorder="1" applyAlignment="1">
      <x:alignment vertical="center" wrapText="0"/>
    </x:xf>
    <x:xf numFmtId="211" fontId="16" fillId="0" borderId="33" xfId="0" applyNumberFormat="1" applyFont="1" applyFill="1" applyBorder="1" applyAlignment="1">
      <x:alignment vertical="center" wrapText="0"/>
    </x:xf>
    <x:xf numFmtId="205" fontId="19" fillId="0" borderId="34" xfId="0" applyNumberFormat="1" applyFont="1" applyFill="1" applyBorder="1" applyAlignment="1">
      <x:alignment vertical="center" wrapText="0"/>
    </x:xf>
    <x:xf numFmtId="214" fontId="16" fillId="0" borderId="33" xfId="0" applyNumberFormat="1" applyFont="1" applyFill="1" applyBorder="1" applyAlignment="1">
      <x:alignment vertical="center" wrapText="0"/>
    </x:xf>
    <x:xf numFmtId="201" fontId="16" fillId="0" borderId="0" xfId="0" applyNumberFormat="1" applyFont="1" applyFill="1" applyBorder="1" applyAlignment="1">
      <x:alignment vertical="center" wrapText="0"/>
    </x:xf>
    <x:xf numFmtId="201" fontId="19" fillId="0" borderId="0" xfId="0" applyNumberFormat="1" applyFont="1" applyFill="1" applyBorder="1" applyAlignment="1">
      <x:alignment vertical="center" wrapText="0"/>
    </x:xf>
    <x:xf numFmtId="201" fontId="19" fillId="0" borderId="17" xfId="0" applyNumberFormat="1" applyFont="1" applyFill="1" applyBorder="1" applyAlignment="1">
      <x:alignment vertical="center" wrapText="0"/>
    </x:xf>
    <x:xf numFmtId="0" fontId="19" fillId="0" borderId="35" xfId="0" applyNumberFormat="1" applyFont="1" applyFill="1" applyBorder="1" applyAlignment="1">
      <x:alignment vertical="center" wrapText="0"/>
    </x:xf>
    <x:xf numFmtId="201" fontId="19" fillId="0" borderId="35" xfId="0" applyNumberFormat="1" applyFont="1" applyFill="1" applyBorder="1" applyAlignment="1">
      <x:alignment vertical="center" wrapText="0"/>
    </x:xf>
    <x:xf numFmtId="207" fontId="16" fillId="0" borderId="34" xfId="0" applyNumberFormat="1" applyFont="1" applyFill="1" applyBorder="1" applyAlignment="1">
      <x:alignment vertical="center" wrapText="0"/>
    </x:xf>
    <x:xf numFmtId="204" fontId="16" fillId="0" borderId="33" xfId="0" applyNumberFormat="1" applyFont="1" applyFill="1" applyBorder="1" applyAlignment="1">
      <x:alignment vertical="center" wrapText="0"/>
    </x:xf>
    <x:xf numFmtId="0" fontId="19" fillId="0" borderId="33" xfId="0" applyNumberFormat="1" applyFont="1" applyFill="1" applyBorder="1" applyAlignment="1">
      <x:alignment vertical="center" wrapText="0"/>
    </x:xf>
    <x:xf numFmtId="201" fontId="19" fillId="0" borderId="33" xfId="0" applyNumberFormat="1" applyFont="1" applyFill="1" applyBorder="1" applyAlignment="1">
      <x:alignment vertical="center" wrapText="0"/>
    </x:xf>
    <x:xf numFmtId="201" fontId="16" fillId="0" borderId="34" xfId="0" applyNumberFormat="1" applyFont="1" applyFill="1" applyBorder="1" applyAlignment="1">
      <x:alignment vertical="center" wrapText="0"/>
    </x:xf>
    <x:xf numFmtId="201" fontId="19" fillId="0" borderId="34" xfId="0" applyNumberFormat="1" applyFont="1" applyFill="1" applyBorder="1" applyAlignment="1">
      <x:alignment vertical="center" wrapText="0"/>
    </x:xf>
    <x:xf numFmtId="0" fontId="16" fillId="0" borderId="0" xfId="0" applyNumberFormat="1" applyFont="1" applyFill="1" applyBorder="1" applyAlignment="1">
      <x:alignment vertical="center" wrapText="1"/>
    </x:xf>
    <x:xf numFmtId="211" fontId="16" fillId="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 applyAlignment="1">
      <x:alignment vertical="top" wrapText="1"/>
    </x:xf>
    <x:xf numFmtId="211" fontId="16" fillId="0" borderId="0" xfId="0" applyNumberFormat="1" applyFont="1" applyFill="1" applyBorder="1" applyAlignment="1">
      <x:alignment vertical="top" wrapText="1"/>
    </x:xf>
    <x:xf numFmtId="0" fontId="16" fillId="0" borderId="36" xfId="0" applyNumberFormat="1" applyFont="1" applyFill="1" applyBorder="1" applyAlignment="1">
      <x:alignment vertical="top" wrapText="1"/>
    </x:xf>
    <x:xf numFmtId="211" fontId="16" fillId="0" borderId="36" xfId="0" applyNumberFormat="1" applyFont="1" applyFill="1" applyBorder="1" applyAlignment="1">
      <x:alignment vertical="top" wrapText="1"/>
    </x:xf>
    <x:xf numFmtId="0" fontId="16" fillId="9" borderId="36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 applyAlignment="1">
      <x:alignment vertical="center"/>
    </x:xf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horizontal="center" vertical="center"/>
    </x:xf>
    <x:xf numFmtId="0" fontId="23" fillId="8" borderId="0" xfId="0" applyNumberFormat="1" applyFont="1" applyFill="1" applyBorder="1" applyAlignment="1">
      <x:alignment horizontal="center"/>
    </x:xf>
    <x:xf numFmtId="0" fontId="23" fillId="8" borderId="0" xfId="0" applyNumberFormat="1" applyFont="1" applyFill="1" applyBorder="1" applyAlignment="1">
      <x:alignment horizontal="center" vertical="center" wrapText="1"/>
    </x:xf>
    <x:xf numFmtId="0" fontId="23" fillId="8" borderId="0" xfId="0" applyNumberFormat="1" applyFont="1" applyFill="1" applyBorder="1" applyAlignment="1">
      <x:alignment horizontal="center" wrapText="1"/>
    </x:xf>
    <x:xf numFmtId="208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0" fontId="23" fillId="8" borderId="33" xfId="0" applyNumberFormat="1" applyFont="1" applyFill="1" applyBorder="1" applyAlignment="1">
      <x:alignment horizontal="center" vertical="center" wrapText="1"/>
    </x:xf>
    <x:xf numFmtId="0" fontId="23" fillId="8" borderId="33" xfId="0" applyNumberFormat="1" applyFont="1" applyFill="1" applyBorder="1" applyAlignment="1">
      <x:alignment horizontal="center" wrapText="1"/>
    </x:xf>
    <x:xf numFmtId="208" fontId="1" fillId="0" borderId="34" xfId="0" applyNumberFormat="1" applyFont="1" applyFill="1" applyBorder="1" applyAlignment="1">
      <x:alignment horizontal="center" vertical="center"/>
    </x:xf>
    <x:xf numFmtId="0" fontId="1" fillId="0" borderId="34" xfId="0" applyNumberFormat="1" applyFont="1" applyFill="1" applyBorder="1" applyAlignment="1">
      <x:alignment horizontal="center" vertical="center"/>
    </x:xf>
    <x:xf numFmtId="0" fontId="0" fillId="0" borderId="34" xfId="0" applyNumberFormat="1" applyFont="1" applyFill="1" applyBorder="1" applyAlignment="1">
      <x:alignment horizontal="center"/>
    </x:xf>
    <x:xf numFmtId="208" fontId="1" fillId="0" borderId="35" xfId="0" applyNumberFormat="1" applyFont="1" applyFill="1" applyBorder="1" applyAlignment="1">
      <x:alignment horizontal="center" vertical="center"/>
    </x:xf>
    <x:xf numFmtId="0" fontId="1" fillId="0" borderId="35" xfId="0" applyNumberFormat="1" applyFont="1" applyFill="1" applyBorder="1" applyAlignment="1">
      <x:alignment horizontal="center" vertical="center"/>
    </x:xf>
    <x:xf numFmtId="0" fontId="0" fillId="0" borderId="35" xfId="0" applyNumberFormat="1" applyFont="1" applyFill="1" applyBorder="1" applyAlignment="1">
      <x:alignment horizontal="center"/>
    </x:xf>
    <x:xf numFmtId="0" fontId="16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27" xfId="0" applyNumberFormat="1" applyFont="1" applyFill="1" applyBorder="1" applyAlignment="1">
      <x:alignment vertical="center"/>
    </x:xf>
    <x:xf numFmtId="0" fontId="3" fillId="7" borderId="28" xfId="0" applyNumberFormat="1" applyFont="1" applyFill="1" applyBorder="1" applyAlignment="1">
      <x:alignment vertical="center"/>
    </x:xf>
    <x:xf numFmtId="0" fontId="3" fillId="7" borderId="29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6" fillId="0" borderId="33" xfId="0" applyNumberFormat="1" applyFont="1" applyFill="1" applyBorder="1" applyAlignment="1">
      <x:alignment vertical="center"/>
    </x:xf>
    <x:xf numFmtId="207" fontId="16" fillId="0" borderId="33" xfId="0" applyNumberFormat="1" applyFont="1" applyFill="1" applyBorder="1" applyAlignment="1">
      <x:alignment vertical="center"/>
    </x:xf>
    <x:xf numFmtId="215" fontId="16" fillId="0" borderId="0" xfId="0" applyNumberFormat="1" applyFont="1" applyFill="1" applyBorder="1" applyAlignment="1">
      <x:alignment vertical="center"/>
    </x:xf>
    <x:xf numFmtId="215" fontId="16" fillId="0" borderId="33" xfId="0" applyNumberFormat="1" applyFont="1" applyFill="1" applyBorder="1" applyAlignment="1">
      <x:alignment vertical="center"/>
    </x:xf>
    <x:xf numFmtId="0" fontId="16" fillId="10" borderId="0" xfId="0" applyNumberFormat="1" applyFont="1" applyFill="1" applyBorder="1" applyAlignment="1">
      <x:alignment vertical="center" wrapText="0"/>
    </x:xf>
    <x:xf numFmtId="0" fontId="3" fillId="10" borderId="0" xfId="0" applyNumberFormat="1" applyFont="1" applyFill="1" applyBorder="1" applyAlignment="1">
      <x:alignment vertical="center" wrapText="0"/>
    </x:xf>
    <x:xf numFmtId="0" fontId="3" fillId="10" borderId="27" xfId="0" applyNumberFormat="1" applyFont="1" applyFill="1" applyBorder="1" applyAlignment="1">
      <x:alignment vertical="center" wrapText="0"/>
    </x:xf>
    <x:xf numFmtId="0" fontId="3" fillId="10" borderId="28" xfId="0" applyNumberFormat="1" applyFont="1" applyFill="1" applyBorder="1" applyAlignment="1">
      <x:alignment vertical="center" wrapText="0"/>
    </x:xf>
    <x:xf numFmtId="0" fontId="3" fillId="10" borderId="29" xfId="0" applyNumberFormat="1" applyFont="1" applyFill="1" applyBorder="1" applyAlignment="1">
      <x:alignment vertical="center" wrapText="0"/>
    </x:xf>
    <x:xf numFmtId="0" fontId="16" fillId="11" borderId="0" xfId="0" applyNumberFormat="1" applyFont="1" applyFill="1" applyBorder="1" applyAlignment="1">
      <x:alignment vertical="center" wrapText="0"/>
    </x:xf>
    <x:xf numFmtId="0" fontId="4" fillId="11" borderId="0" xfId="0" applyNumberFormat="1" applyFont="1" applyFill="1" applyBorder="1" applyAlignment="1">
      <x:alignment vertical="center" wrapText="0"/>
    </x:xf>
    <x:xf numFmtId="0" fontId="4" fillId="11" borderId="0" xfId="0" applyNumberFormat="1" applyFont="1" applyFill="1" applyBorder="1" applyAlignment="1">
      <x:alignment horizontal="center" vertical="center" wrapText="0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4" fillId="11" borderId="30" xfId="0" applyNumberFormat="1" applyFont="1" applyFill="1" applyBorder="1" applyAlignment="1">
      <x:alignment horizontal="center" vertical="center" wrapText="1"/>
    </x:xf>
    <x:xf numFmtId="0" fontId="4" fillId="11" borderId="31" xfId="0" applyNumberFormat="1" applyFont="1" applyFill="1" applyBorder="1" applyAlignment="1">
      <x:alignment horizontal="center" vertical="center" wrapText="1"/>
    </x:xf>
    <x:xf numFmtId="0" fontId="4" fillId="11" borderId="32" xfId="0" applyNumberFormat="1" applyFont="1" applyFill="1" applyBorder="1" applyAlignment="1">
      <x:alignment horizontal="center" vertical="center" wrapText="1"/>
    </x:xf>
    <x:xf numFmtId="208" fontId="4" fillId="11" borderId="31" xfId="0" applyNumberFormat="1" applyFont="1" applyFill="1" applyBorder="1" applyAlignment="1">
      <x:alignment horizontal="center" vertical="center" wrapText="1"/>
    </x:xf>
    <x:xf numFmtId="0" fontId="16" fillId="12" borderId="36" xfId="0" applyNumberFormat="1" applyFont="1" applyFill="1" applyBorder="1" applyAlignment="1">
      <x:alignment vertical="top" wrapText="1"/>
    </x:xf>
    <x:xf numFmtId="0" fontId="19" fillId="7" borderId="27" xfId="0" applyNumberFormat="1" applyFont="1" applyFill="1" applyBorder="1" applyAlignment="1">
      <x:alignment vertical="center"/>
    </x:xf>
    <x:xf numFmtId="0" fontId="19" fillId="7" borderId="28" xfId="0" applyNumberFormat="1" applyFont="1" applyFill="1" applyBorder="1" applyAlignment="1">
      <x:alignment vertical="center"/>
    </x:xf>
    <x:xf numFmtId="0" fontId="19" fillId="7" borderId="29" xfId="0" applyNumberFormat="1" applyFont="1" applyFill="1" applyBorder="1" applyAlignment="1">
      <x:alignment vertical="center"/>
    </x:xf>
    <x:xf numFmtId="0" fontId="23" fillId="11" borderId="33" xfId="0" applyNumberFormat="1" applyFont="1" applyFill="1" applyBorder="1" applyAlignment="1">
      <x:alignment horizontal="center" vertical="center" wrapText="1"/>
    </x:xf>
    <x:xf numFmtId="0" fontId="23" fillId="11" borderId="33" xfId="0" applyNumberFormat="1" applyFont="1" applyFill="1" applyBorder="1" applyAlignment="1">
      <x:alignment horizontal="center" wrapText="1"/>
    </x:xf>
    <x:xf numFmtId="0" fontId="19" fillId="10" borderId="27" xfId="0" applyNumberFormat="1" applyFont="1" applyFill="1" applyBorder="1" applyAlignment="1">
      <x:alignment vertical="center"/>
    </x:xf>
    <x:xf numFmtId="0" fontId="19" fillId="10" borderId="28" xfId="0" applyNumberFormat="1" applyFont="1" applyFill="1" applyBorder="1" applyAlignment="1">
      <x:alignment vertical="center"/>
    </x:xf>
    <x:xf numFmtId="0" fontId="19" fillId="10" borderId="29" xfId="0" applyNumberFormat="1" applyFont="1" applyFill="1" applyBorder="1" applyAlignment="1">
      <x:alignment vertical="center"/>
    </x:xf>
    <x:xf numFmtId="0" fontId="3" fillId="10" borderId="27" xfId="0" applyNumberFormat="1" applyFont="1" applyFill="1" applyBorder="1" applyAlignment="1">
      <x:alignment vertical="center"/>
    </x:xf>
    <x:xf numFmtId="0" fontId="3" fillId="10" borderId="28" xfId="0" applyNumberFormat="1" applyFont="1" applyFill="1" applyBorder="1" applyAlignment="1">
      <x:alignment vertical="center"/>
    </x:xf>
    <x:xf numFmtId="0" fontId="3" fillId="10" borderId="29" xfId="0" applyNumberFormat="1" applyFont="1" applyFill="1" applyBorder="1" applyAlignment="1">
      <x:alignment vertical="center"/>
    </x:xf>
    <x:xf numFmtId="0" fontId="16" fillId="13" borderId="0" xfId="0" applyNumberFormat="1" applyFont="1" applyFill="1" applyBorder="1" applyAlignment="1">
      <x:alignment vertical="center" wrapText="0"/>
    </x:xf>
    <x:xf numFmtId="0" fontId="3" fillId="13" borderId="0" xfId="0" applyNumberFormat="1" applyFont="1" applyFill="1" applyBorder="1" applyAlignment="1">
      <x:alignment vertical="center" wrapText="0"/>
    </x:xf>
    <x:xf numFmtId="0" fontId="3" fillId="13" borderId="27" xfId="0" applyNumberFormat="1" applyFont="1" applyFill="1" applyBorder="1" applyAlignment="1">
      <x:alignment vertical="center" wrapText="0"/>
    </x:xf>
    <x:xf numFmtId="0" fontId="3" fillId="13" borderId="28" xfId="0" applyNumberFormat="1" applyFont="1" applyFill="1" applyBorder="1" applyAlignment="1">
      <x:alignment vertical="center" wrapText="0"/>
    </x:xf>
    <x:xf numFmtId="0" fontId="3" fillId="13" borderId="29" xfId="0" applyNumberFormat="1" applyFont="1" applyFill="1" applyBorder="1" applyAlignment="1">
      <x:alignment vertical="center" wrapText="0"/>
    </x:xf>
    <x:xf numFmtId="0" fontId="16" fillId="14" borderId="0" xfId="0" applyNumberFormat="1" applyFont="1" applyFill="1" applyBorder="1" applyAlignment="1">
      <x:alignment vertical="center" wrapText="0"/>
    </x:xf>
    <x:xf numFmtId="0" fontId="4" fillId="14" borderId="0" xfId="0" applyNumberFormat="1" applyFont="1" applyFill="1" applyBorder="1" applyAlignment="1">
      <x:alignment vertical="center" wrapText="0"/>
    </x:xf>
    <x:xf numFmtId="0" fontId="4" fillId="14" borderId="0" xfId="0" applyNumberFormat="1" applyFont="1" applyFill="1" applyBorder="1" applyAlignment="1">
      <x:alignment horizontal="center" vertical="center" wrapText="0"/>
    </x:xf>
    <x:xf numFmtId="0" fontId="4" fillId="14" borderId="0" xfId="0" applyNumberFormat="1" applyFont="1" applyFill="1" applyBorder="1" applyAlignment="1">
      <x:alignment horizontal="center" vertical="center" wrapText="1"/>
    </x:xf>
    <x:xf numFmtId="0" fontId="4" fillId="14" borderId="30" xfId="0" applyNumberFormat="1" applyFont="1" applyFill="1" applyBorder="1" applyAlignment="1">
      <x:alignment horizontal="center" vertical="center" wrapText="1"/>
    </x:xf>
    <x:xf numFmtId="0" fontId="4" fillId="14" borderId="31" xfId="0" applyNumberFormat="1" applyFont="1" applyFill="1" applyBorder="1" applyAlignment="1">
      <x:alignment horizontal="center" vertical="center" wrapText="1"/>
    </x:xf>
    <x:xf numFmtId="0" fontId="4" fillId="14" borderId="32" xfId="0" applyNumberFormat="1" applyFont="1" applyFill="1" applyBorder="1" applyAlignment="1">
      <x:alignment horizontal="center" vertical="center" wrapText="1"/>
    </x:xf>
    <x:xf numFmtId="208" fontId="4" fillId="14" borderId="31" xfId="0" applyNumberFormat="1" applyFont="1" applyFill="1" applyBorder="1" applyAlignment="1">
      <x:alignment horizontal="center" vertical="center" wrapText="1"/>
    </x:xf>
    <x:xf numFmtId="0" fontId="16" fillId="15" borderId="36" xfId="0" applyNumberFormat="1" applyFont="1" applyFill="1" applyBorder="1" applyAlignment="1">
      <x:alignment vertical="top" wrapText="1"/>
    </x:xf>
    <x:xf numFmtId="0" fontId="23" fillId="14" borderId="33" xfId="0" applyNumberFormat="1" applyFont="1" applyFill="1" applyBorder="1" applyAlignment="1">
      <x:alignment horizontal="center" vertical="center" wrapText="1"/>
    </x:xf>
    <x:xf numFmtId="0" fontId="23" fillId="14" borderId="33" xfId="0" applyNumberFormat="1" applyFont="1" applyFill="1" applyBorder="1" applyAlignment="1">
      <x:alignment horizontal="center" wrapText="1"/>
    </x:xf>
    <x:xf numFmtId="0" fontId="19" fillId="13" borderId="27" xfId="0" applyNumberFormat="1" applyFont="1" applyFill="1" applyBorder="1" applyAlignment="1">
      <x:alignment vertical="center"/>
    </x:xf>
    <x:xf numFmtId="0" fontId="19" fillId="13" borderId="28" xfId="0" applyNumberFormat="1" applyFont="1" applyFill="1" applyBorder="1" applyAlignment="1">
      <x:alignment vertical="center"/>
    </x:xf>
    <x:xf numFmtId="0" fontId="19" fillId="13" borderId="29" xfId="0" applyNumberFormat="1" applyFont="1" applyFill="1" applyBorder="1" applyAlignment="1">
      <x:alignment vertical="center"/>
    </x:xf>
    <x:xf numFmtId="0" fontId="3" fillId="13" borderId="27" xfId="0" applyNumberFormat="1" applyFont="1" applyFill="1" applyBorder="1" applyAlignment="1">
      <x:alignment vertical="center"/>
    </x:xf>
    <x:xf numFmtId="0" fontId="3" fillId="13" borderId="28" xfId="0" applyNumberFormat="1" applyFont="1" applyFill="1" applyBorder="1" applyAlignment="1">
      <x:alignment vertical="center"/>
    </x:xf>
    <x:xf numFmtId="0" fontId="3" fillId="13" borderId="29" xfId="0" applyNumberFormat="1" applyFont="1" applyFill="1" applyBorder="1" applyAlignment="1">
      <x:alignment vertical="center"/>
    </x:xf>
    <x:xf numFmtId="0" fontId="16" fillId="16" borderId="0" xfId="0" applyNumberFormat="1" applyFont="1" applyFill="1" applyBorder="1" applyAlignment="1">
      <x:alignment vertical="center" wrapText="0"/>
    </x:xf>
    <x:xf numFmtId="0" fontId="3" fillId="16" borderId="0" xfId="0" applyNumberFormat="1" applyFont="1" applyFill="1" applyBorder="1" applyAlignment="1">
      <x:alignment vertical="center" wrapText="0"/>
    </x:xf>
    <x:xf numFmtId="0" fontId="3" fillId="16" borderId="27" xfId="0" applyNumberFormat="1" applyFont="1" applyFill="1" applyBorder="1" applyAlignment="1">
      <x:alignment vertical="center" wrapText="0"/>
    </x:xf>
    <x:xf numFmtId="0" fontId="3" fillId="16" borderId="28" xfId="0" applyNumberFormat="1" applyFont="1" applyFill="1" applyBorder="1" applyAlignment="1">
      <x:alignment vertical="center" wrapText="0"/>
    </x:xf>
    <x:xf numFmtId="0" fontId="3" fillId="16" borderId="29" xfId="0" applyNumberFormat="1" applyFont="1" applyFill="1" applyBorder="1" applyAlignment="1">
      <x:alignment vertical="center" wrapText="0"/>
    </x:xf>
    <x:xf numFmtId="0" fontId="16" fillId="17" borderId="0" xfId="0" applyNumberFormat="1" applyFont="1" applyFill="1" applyBorder="1" applyAlignment="1">
      <x:alignment vertical="center" wrapText="0"/>
    </x:xf>
    <x:xf numFmtId="0" fontId="4" fillId="17" borderId="0" xfId="0" applyNumberFormat="1" applyFont="1" applyFill="1" applyBorder="1" applyAlignment="1">
      <x:alignment vertical="center" wrapText="0"/>
    </x:xf>
    <x:xf numFmtId="0" fontId="4" fillId="17" borderId="0" xfId="0" applyNumberFormat="1" applyFont="1" applyFill="1" applyBorder="1" applyAlignment="1">
      <x:alignment horizontal="center" vertical="center" wrapText="0"/>
    </x:xf>
    <x:xf numFmtId="0" fontId="4" fillId="17" borderId="0" xfId="0" applyNumberFormat="1" applyFont="1" applyFill="1" applyBorder="1" applyAlignment="1">
      <x:alignment horizontal="center" vertical="center" wrapText="1"/>
    </x:xf>
    <x:xf numFmtId="0" fontId="4" fillId="17" borderId="30" xfId="0" applyNumberFormat="1" applyFont="1" applyFill="1" applyBorder="1" applyAlignment="1">
      <x:alignment horizontal="center" vertical="center" wrapText="1"/>
    </x:xf>
    <x:xf numFmtId="0" fontId="4" fillId="17" borderId="31" xfId="0" applyNumberFormat="1" applyFont="1" applyFill="1" applyBorder="1" applyAlignment="1">
      <x:alignment horizontal="center" vertical="center" wrapText="1"/>
    </x:xf>
    <x:xf numFmtId="0" fontId="4" fillId="17" borderId="32" xfId="0" applyNumberFormat="1" applyFont="1" applyFill="1" applyBorder="1" applyAlignment="1">
      <x:alignment horizontal="center" vertical="center" wrapText="1"/>
    </x:xf>
    <x:xf numFmtId="208" fontId="4" fillId="17" borderId="31" xfId="0" applyNumberFormat="1" applyFont="1" applyFill="1" applyBorder="1" applyAlignment="1">
      <x:alignment horizontal="center" vertical="center" wrapText="1"/>
    </x:xf>
    <x:xf numFmtId="0" fontId="16" fillId="18" borderId="36" xfId="0" applyNumberFormat="1" applyFont="1" applyFill="1" applyBorder="1" applyAlignment="1">
      <x:alignment vertical="top" wrapText="1"/>
    </x:xf>
    <x:xf numFmtId="0" fontId="23" fillId="17" borderId="33" xfId="0" applyNumberFormat="1" applyFont="1" applyFill="1" applyBorder="1" applyAlignment="1">
      <x:alignment horizontal="center" vertical="center" wrapText="1"/>
    </x:xf>
    <x:xf numFmtId="0" fontId="23" fillId="17" borderId="33" xfId="0" applyNumberFormat="1" applyFont="1" applyFill="1" applyBorder="1" applyAlignment="1">
      <x:alignment horizontal="center" wrapText="1"/>
    </x:xf>
    <x:xf numFmtId="0" fontId="19" fillId="16" borderId="27" xfId="0" applyNumberFormat="1" applyFont="1" applyFill="1" applyBorder="1" applyAlignment="1">
      <x:alignment vertical="center"/>
    </x:xf>
    <x:xf numFmtId="0" fontId="19" fillId="16" borderId="28" xfId="0" applyNumberFormat="1" applyFont="1" applyFill="1" applyBorder="1" applyAlignment="1">
      <x:alignment vertical="center"/>
    </x:xf>
    <x:xf numFmtId="0" fontId="19" fillId="16" borderId="29" xfId="0" applyNumberFormat="1" applyFont="1" applyFill="1" applyBorder="1" applyAlignment="1">
      <x:alignment vertical="center"/>
    </x:xf>
    <x:xf numFmtId="0" fontId="3" fillId="16" borderId="27" xfId="0" applyNumberFormat="1" applyFont="1" applyFill="1" applyBorder="1" applyAlignment="1">
      <x:alignment vertical="center"/>
    </x:xf>
    <x:xf numFmtId="0" fontId="3" fillId="16" borderId="28" xfId="0" applyNumberFormat="1" applyFont="1" applyFill="1" applyBorder="1" applyAlignment="1">
      <x:alignment vertical="center"/>
    </x:xf>
    <x:xf numFmtId="0" fontId="3" fillId="16" borderId="29" xfId="0" applyNumberFormat="1" applyFont="1" applyFill="1" applyBorder="1" applyAlignment="1">
      <x:alignment vertical="center"/>
    </x:xf>
    <x:xf numFmtId="0" fontId="16" fillId="19" borderId="0" xfId="0" applyNumberFormat="1" applyFont="1" applyFill="1" applyBorder="1" applyAlignment="1">
      <x:alignment vertical="center" wrapText="0"/>
    </x:xf>
    <x:xf numFmtId="0" fontId="3" fillId="19" borderId="0" xfId="0" applyNumberFormat="1" applyFont="1" applyFill="1" applyBorder="1" applyAlignment="1">
      <x:alignment vertical="center" wrapText="0"/>
    </x:xf>
    <x:xf numFmtId="0" fontId="3" fillId="19" borderId="27" xfId="0" applyNumberFormat="1" applyFont="1" applyFill="1" applyBorder="1" applyAlignment="1">
      <x:alignment vertical="center" wrapText="0"/>
    </x:xf>
    <x:xf numFmtId="0" fontId="3" fillId="19" borderId="28" xfId="0" applyNumberFormat="1" applyFont="1" applyFill="1" applyBorder="1" applyAlignment="1">
      <x:alignment vertical="center" wrapText="0"/>
    </x:xf>
    <x:xf numFmtId="0" fontId="3" fillId="19" borderId="29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vertical="center" wrapText="1"/>
    </x:xf>
    <x:xf numFmtId="0" fontId="16" fillId="20" borderId="0" xfId="0" applyNumberFormat="1" applyFont="1" applyFill="1" applyBorder="1" applyAlignment="1">
      <x:alignment vertical="center" wrapText="0"/>
    </x:xf>
    <x:xf numFmtId="0" fontId="4" fillId="20" borderId="0" xfId="0" applyNumberFormat="1" applyFont="1" applyFill="1" applyBorder="1" applyAlignment="1">
      <x:alignment vertical="center" wrapText="0"/>
    </x:xf>
    <x:xf numFmtId="0" fontId="4" fillId="20" borderId="0" xfId="0" applyNumberFormat="1" applyFont="1" applyFill="1" applyBorder="1" applyAlignment="1">
      <x:alignment horizontal="center" vertical="center" wrapText="0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4" fillId="20" borderId="30" xfId="0" applyNumberFormat="1" applyFont="1" applyFill="1" applyBorder="1" applyAlignment="1">
      <x:alignment horizontal="center" vertical="center" wrapText="1"/>
    </x:xf>
    <x:xf numFmtId="0" fontId="4" fillId="20" borderId="31" xfId="0" applyNumberFormat="1" applyFont="1" applyFill="1" applyBorder="1" applyAlignment="1">
      <x:alignment horizontal="center" vertical="center" wrapText="1"/>
    </x:xf>
    <x:xf numFmtId="0" fontId="4" fillId="20" borderId="32" xfId="0" applyNumberFormat="1" applyFont="1" applyFill="1" applyBorder="1" applyAlignment="1">
      <x:alignment horizontal="center" vertical="center" wrapText="1"/>
    </x:xf>
    <x:xf numFmtId="208" fontId="4" fillId="20" borderId="31" xfId="0" applyNumberFormat="1" applyFont="1" applyFill="1" applyBorder="1" applyAlignment="1">
      <x:alignment horizontal="center" vertical="center" wrapText="1"/>
    </x:xf>
    <x:xf numFmtId="0" fontId="16" fillId="21" borderId="36" xfId="0" applyNumberFormat="1" applyFont="1" applyFill="1" applyBorder="1" applyAlignment="1">
      <x:alignment vertical="top" wrapText="1"/>
    </x:xf>
    <x:xf numFmtId="0" fontId="23" fillId="20" borderId="33" xfId="0" applyNumberFormat="1" applyFont="1" applyFill="1" applyBorder="1" applyAlignment="1">
      <x:alignment horizontal="center" vertical="center" wrapText="1"/>
    </x:xf>
    <x:xf numFmtId="0" fontId="23" fillId="20" borderId="33" xfId="0" applyNumberFormat="1" applyFont="1" applyFill="1" applyBorder="1" applyAlignment="1">
      <x:alignment horizontal="center" wrapText="1"/>
    </x:xf>
    <x:xf numFmtId="0" fontId="19" fillId="19" borderId="27" xfId="0" applyNumberFormat="1" applyFont="1" applyFill="1" applyBorder="1" applyAlignment="1">
      <x:alignment vertical="center"/>
    </x:xf>
    <x:xf numFmtId="0" fontId="19" fillId="19" borderId="28" xfId="0" applyNumberFormat="1" applyFont="1" applyFill="1" applyBorder="1" applyAlignment="1">
      <x:alignment vertical="center"/>
    </x:xf>
    <x:xf numFmtId="0" fontId="19" fillId="19" borderId="29" xfId="0" applyNumberFormat="1" applyFont="1" applyFill="1" applyBorder="1" applyAlignment="1">
      <x:alignment vertical="center"/>
    </x:xf>
    <x:xf numFmtId="0" fontId="3" fillId="19" borderId="27" xfId="0" applyNumberFormat="1" applyFont="1" applyFill="1" applyBorder="1" applyAlignment="1">
      <x:alignment vertical="center"/>
    </x:xf>
    <x:xf numFmtId="0" fontId="3" fillId="19" borderId="28" xfId="0" applyNumberFormat="1" applyFont="1" applyFill="1" applyBorder="1" applyAlignment="1">
      <x:alignment vertical="center"/>
    </x:xf>
    <x:xf numFmtId="0" fontId="3" fillId="19" borderId="29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0"/>
    </x:xf>
    <x:xf numFmtId="0" fontId="3" fillId="22" borderId="0" xfId="0" applyNumberFormat="1" applyFont="1" applyFill="1" applyBorder="1" applyAlignment="1">
      <x:alignment vertical="center" wrapText="0"/>
    </x:xf>
    <x:xf numFmtId="0" fontId="3" fillId="22" borderId="27" xfId="0" applyNumberFormat="1" applyFont="1" applyFill="1" applyBorder="1" applyAlignment="1">
      <x:alignment vertical="center" wrapText="0"/>
    </x:xf>
    <x:xf numFmtId="0" fontId="3" fillId="22" borderId="28" xfId="0" applyNumberFormat="1" applyFont="1" applyFill="1" applyBorder="1" applyAlignment="1">
      <x:alignment vertical="center" wrapText="0"/>
    </x:xf>
    <x:xf numFmtId="0" fontId="3" fillId="22" borderId="29" xfId="0" applyNumberFormat="1" applyFont="1" applyFill="1" applyBorder="1" applyAlignment="1">
      <x:alignment vertical="center" wrapText="0"/>
    </x:xf>
    <x:xf numFmtId="0" fontId="16" fillId="23" borderId="0" xfId="0" applyNumberFormat="1" applyFont="1" applyFill="1" applyBorder="1" applyAlignment="1">
      <x:alignment vertical="center" wrapText="0"/>
    </x:xf>
    <x:xf numFmtId="0" fontId="4" fillId="23" borderId="0" xfId="0" applyNumberFormat="1" applyFont="1" applyFill="1" applyBorder="1" applyAlignment="1">
      <x:alignment vertical="center" wrapText="0"/>
    </x:xf>
    <x:xf numFmtId="0" fontId="4" fillId="23" borderId="0" xfId="0" applyNumberFormat="1" applyFont="1" applyFill="1" applyBorder="1" applyAlignment="1">
      <x:alignment horizontal="center" vertical="center" wrapText="0"/>
    </x:xf>
    <x:xf numFmtId="0" fontId="4" fillId="23" borderId="0" xfId="0" applyNumberFormat="1" applyFont="1" applyFill="1" applyBorder="1" applyAlignment="1">
      <x:alignment horizontal="center" vertical="center" wrapText="1"/>
    </x:xf>
    <x:xf numFmtId="0" fontId="4" fillId="23" borderId="30" xfId="0" applyNumberFormat="1" applyFont="1" applyFill="1" applyBorder="1" applyAlignment="1">
      <x:alignment horizontal="center" vertical="center" wrapText="1"/>
    </x:xf>
    <x:xf numFmtId="0" fontId="4" fillId="23" borderId="31" xfId="0" applyNumberFormat="1" applyFont="1" applyFill="1" applyBorder="1" applyAlignment="1">
      <x:alignment horizontal="center" vertical="center" wrapText="1"/>
    </x:xf>
    <x:xf numFmtId="0" fontId="4" fillId="23" borderId="32" xfId="0" applyNumberFormat="1" applyFont="1" applyFill="1" applyBorder="1" applyAlignment="1">
      <x:alignment horizontal="center" vertical="center" wrapText="1"/>
    </x:xf>
    <x:xf numFmtId="208" fontId="4" fillId="23" borderId="31" xfId="0" applyNumberFormat="1" applyFont="1" applyFill="1" applyBorder="1" applyAlignment="1">
      <x:alignment horizontal="center" vertical="center" wrapText="1"/>
    </x:xf>
    <x:xf numFmtId="0" fontId="16" fillId="24" borderId="36" xfId="0" applyNumberFormat="1" applyFont="1" applyFill="1" applyBorder="1" applyAlignment="1">
      <x:alignment vertical="top" wrapText="1"/>
    </x:xf>
    <x:xf numFmtId="0" fontId="23" fillId="23" borderId="33" xfId="0" applyNumberFormat="1" applyFont="1" applyFill="1" applyBorder="1" applyAlignment="1">
      <x:alignment horizontal="center" vertical="center" wrapText="1"/>
    </x:xf>
    <x:xf numFmtId="0" fontId="23" fillId="23" borderId="33" xfId="0" applyNumberFormat="1" applyFont="1" applyFill="1" applyBorder="1" applyAlignment="1">
      <x:alignment horizontal="center" wrapText="1"/>
    </x:xf>
    <x:xf numFmtId="0" fontId="19" fillId="22" borderId="27" xfId="0" applyNumberFormat="1" applyFont="1" applyFill="1" applyBorder="1" applyAlignment="1">
      <x:alignment vertical="center"/>
    </x:xf>
    <x:xf numFmtId="0" fontId="19" fillId="22" borderId="28" xfId="0" applyNumberFormat="1" applyFont="1" applyFill="1" applyBorder="1" applyAlignment="1">
      <x:alignment vertical="center"/>
    </x:xf>
    <x:xf numFmtId="0" fontId="19" fillId="22" borderId="29" xfId="0" applyNumberFormat="1" applyFont="1" applyFill="1" applyBorder="1" applyAlignment="1">
      <x:alignment vertical="center"/>
    </x:xf>
    <x:xf numFmtId="0" fontId="3" fillId="22" borderId="27" xfId="0" applyNumberFormat="1" applyFont="1" applyFill="1" applyBorder="1" applyAlignment="1">
      <x:alignment vertical="center"/>
    </x:xf>
    <x:xf numFmtId="0" fontId="3" fillId="22" borderId="28" xfId="0" applyNumberFormat="1" applyFont="1" applyFill="1" applyBorder="1" applyAlignment="1">
      <x:alignment vertical="center"/>
    </x:xf>
    <x:xf numFmtId="0" fontId="3" fillId="22" borderId="29" xfId="0" applyNumberFormat="1" applyFont="1" applyFill="1" applyBorder="1" applyAlignment="1">
      <x:alignment vertical="center"/>
    </x:xf>
    <x:xf numFmtId="0" fontId="16" fillId="25" borderId="0" xfId="0" applyNumberFormat="1" applyFont="1" applyFill="1" applyBorder="1" applyAlignment="1">
      <x:alignment vertical="center" wrapText="0"/>
    </x:xf>
    <x:xf numFmtId="0" fontId="3" fillId="25" borderId="0" xfId="0" applyNumberFormat="1" applyFont="1" applyFill="1" applyBorder="1" applyAlignment="1">
      <x:alignment vertical="center" wrapText="0"/>
    </x:xf>
    <x:xf numFmtId="0" fontId="3" fillId="25" borderId="27" xfId="0" applyNumberFormat="1" applyFont="1" applyFill="1" applyBorder="1" applyAlignment="1">
      <x:alignment vertical="center" wrapText="0"/>
    </x:xf>
    <x:xf numFmtId="0" fontId="3" fillId="25" borderId="28" xfId="0" applyNumberFormat="1" applyFont="1" applyFill="1" applyBorder="1" applyAlignment="1">
      <x:alignment vertical="center" wrapText="0"/>
    </x:xf>
    <x:xf numFmtId="0" fontId="3" fillId="25" borderId="29" xfId="0" applyNumberFormat="1" applyFont="1" applyFill="1" applyBorder="1" applyAlignment="1">
      <x:alignment vertical="center" wrapText="0"/>
    </x:xf>
    <x:xf numFmtId="0" fontId="16" fillId="26" borderId="0" xfId="0" applyNumberFormat="1" applyFont="1" applyFill="1" applyBorder="1" applyAlignment="1">
      <x:alignment vertical="center" wrapText="0"/>
    </x:xf>
    <x:xf numFmtId="0" fontId="4" fillId="26" borderId="0" xfId="0" applyNumberFormat="1" applyFont="1" applyFill="1" applyBorder="1" applyAlignment="1">
      <x:alignment vertical="center" wrapText="0"/>
    </x:xf>
    <x:xf numFmtId="0" fontId="4" fillId="26" borderId="0" xfId="0" applyNumberFormat="1" applyFont="1" applyFill="1" applyBorder="1" applyAlignment="1">
      <x:alignment horizontal="center" vertical="center" wrapText="0"/>
    </x:xf>
    <x:xf numFmtId="0" fontId="4" fillId="26" borderId="0" xfId="0" applyNumberFormat="1" applyFont="1" applyFill="1" applyBorder="1" applyAlignment="1">
      <x:alignment horizontal="center" vertical="center" wrapText="1"/>
    </x:xf>
    <x:xf numFmtId="0" fontId="4" fillId="26" borderId="30" xfId="0" applyNumberFormat="1" applyFont="1" applyFill="1" applyBorder="1" applyAlignment="1">
      <x:alignment horizontal="center" vertical="center" wrapText="1"/>
    </x:xf>
    <x:xf numFmtId="0" fontId="4" fillId="26" borderId="31" xfId="0" applyNumberFormat="1" applyFont="1" applyFill="1" applyBorder="1" applyAlignment="1">
      <x:alignment horizontal="center" vertical="center" wrapText="1"/>
    </x:xf>
    <x:xf numFmtId="0" fontId="4" fillId="26" borderId="32" xfId="0" applyNumberFormat="1" applyFont="1" applyFill="1" applyBorder="1" applyAlignment="1">
      <x:alignment horizontal="center" vertical="center" wrapText="1"/>
    </x:xf>
    <x:xf numFmtId="208" fontId="4" fillId="26" borderId="31" xfId="0" applyNumberFormat="1" applyFont="1" applyFill="1" applyBorder="1" applyAlignment="1">
      <x:alignment horizontal="center" vertical="center" wrapText="1"/>
    </x:xf>
    <x:xf numFmtId="0" fontId="16" fillId="27" borderId="36" xfId="0" applyNumberFormat="1" applyFont="1" applyFill="1" applyBorder="1" applyAlignment="1">
      <x:alignment vertical="top" wrapText="1"/>
    </x:xf>
    <x:xf numFmtId="0" fontId="23" fillId="26" borderId="33" xfId="0" applyNumberFormat="1" applyFont="1" applyFill="1" applyBorder="1" applyAlignment="1">
      <x:alignment horizontal="center" vertical="center" wrapText="1"/>
    </x:xf>
    <x:xf numFmtId="0" fontId="23" fillId="26" borderId="33" xfId="0" applyNumberFormat="1" applyFont="1" applyFill="1" applyBorder="1" applyAlignment="1">
      <x:alignment horizontal="center" wrapText="1"/>
    </x:xf>
    <x:xf numFmtId="0" fontId="19" fillId="25" borderId="27" xfId="0" applyNumberFormat="1" applyFont="1" applyFill="1" applyBorder="1" applyAlignment="1">
      <x:alignment vertical="center"/>
    </x:xf>
    <x:xf numFmtId="0" fontId="19" fillId="25" borderId="28" xfId="0" applyNumberFormat="1" applyFont="1" applyFill="1" applyBorder="1" applyAlignment="1">
      <x:alignment vertical="center"/>
    </x:xf>
    <x:xf numFmtId="0" fontId="19" fillId="25" borderId="29" xfId="0" applyNumberFormat="1" applyFont="1" applyFill="1" applyBorder="1" applyAlignment="1">
      <x:alignment vertical="center"/>
    </x:xf>
    <x:xf numFmtId="0" fontId="3" fillId="25" borderId="27" xfId="0" applyNumberFormat="1" applyFont="1" applyFill="1" applyBorder="1" applyAlignment="1">
      <x:alignment vertical="center"/>
    </x:xf>
    <x:xf numFmtId="0" fontId="3" fillId="25" borderId="28" xfId="0" applyNumberFormat="1" applyFont="1" applyFill="1" applyBorder="1" applyAlignment="1">
      <x:alignment vertical="center"/>
    </x:xf>
    <x:xf numFmtId="0" fontId="3" fillId="25" borderId="29" xfId="0" applyNumberFormat="1" applyFont="1" applyFill="1" applyBorder="1" applyAlignment="1">
      <x:alignment vertical="center"/>
    </x:xf>
  </x:cellXfs>
  <x:cellStyles count="1">
    <x:cellStyle name="Normal" xfId="0"/>
  </x:cellStyles>
  <x:dxfs count="18"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>
          <x:bgColor rgb="FFFCE8E6"/>
        </x:patternFill>
      </x:fill>
    </x:dxf>
    <x:dxf>
      <x:font>
        <x:b/>
        <x:color rgb="FFC00000"/>
      </x:font>
      <x:fill>
        <x:patternFill patternType="solid">
          <x:bgColor rgb="FFFCE8E6"/>
        </x:patternFill>
      </x:fill>
    </x:dxf>
    <x:dxf>
      <x:font>
        <x:b/>
        <x:color rgb="FFC00000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65985444e14abc" /><Relationship Type="http://schemas.openxmlformats.org/officeDocument/2006/relationships/theme" Target="/xl/theme/theme1.xml" Id="R1dfe9c6bb37b471a" /><Relationship Type="http://schemas.openxmlformats.org/officeDocument/2006/relationships/sharedStrings" Target="/xl/sharedStrings.xml" Id="R4a9f503e9a9d4462" /><Relationship Type="http://schemas.openxmlformats.org/officeDocument/2006/relationships/worksheet" Target="/xl/worksheets/sheet1.xml" Id="Reeb2101aa8a54285" /><Relationship Type="http://schemas.openxmlformats.org/officeDocument/2006/relationships/worksheet" Target="/xl/worksheets/sheet2.xml" Id="R01c63c7337bf4264" /><Relationship Type="http://schemas.openxmlformats.org/officeDocument/2006/relationships/worksheet" Target="/xl/worksheets/sheet3.xml" Id="R2b58914c864344dc" /><Relationship Type="http://schemas.openxmlformats.org/officeDocument/2006/relationships/worksheet" Target="/xl/worksheets/sheet4.xml" Id="R81f85f000152479a" /><Relationship Type="http://schemas.openxmlformats.org/officeDocument/2006/relationships/worksheet" Target="/xl/worksheets/sheet5.xml" Id="R5215ce7ce12a4169" /><Relationship Type="http://schemas.openxmlformats.org/officeDocument/2006/relationships/worksheet" Target="/xl/worksheets/sheet6.xml" Id="Refeeb528ae3b4009" /><Relationship Type="http://schemas.openxmlformats.org/officeDocument/2006/relationships/worksheet" Target="/xl/worksheets/sheet7.xml" Id="R015eae95b4bc41ed" /><Relationship Type="http://schemas.openxmlformats.org/officeDocument/2006/relationships/worksheet" Target="/xl/worksheets/sheet8.xml" Id="Rdd1b7751cb8c41cd" /></Relationships>
</file>

<file path=xl/tables/table1.xml><?xml version="1.0" encoding="utf-8"?>
<x:table xmlns:x="http://schemas.openxmlformats.org/spreadsheetml/2006/main" id="1" name="tblFinancialActuals" displayName="tblFinancialActuals" ref="C7:G151" headerRowCount="1" totalsRowCount="0" totalsRowShown="0">
  <x:tableColumns count="5">
    <x:tableColumn id="1" name="case_version"/>
    <x:tableColumn id="2" name="period"/>
    <x:tableColumn id="3" name="account_code"/>
    <x:tableColumn id="4" name="account_name"/>
    <x:tableColumn id="5" name="amount_us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OperatingActuals" displayName="tblOperatingActuals" ref="C157:G193" headerRowCount="1" totalsRowCount="0" totalsRowShown="0">
  <x:tableColumns count="5">
    <x:tableColumn id="1" name="case_version"/>
    <x:tableColumn id="2" name="period"/>
    <x:tableColumn id="3" name="segment"/>
    <x:tableColumn id="4" name="occupied_room_nights"/>
    <x:tableColumn id="5" name="room_reven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LaborActuals" displayName="tblLaborActuals" ref="C199:H217" headerRowCount="1" totalsRowCount="0" totalsRowShown="0">
  <x:tableColumns count="6">
    <x:tableColumn id="1" name="case_version"/>
    <x:tableColumn id="2" name="period"/>
    <x:tableColumn id="3" name="housekeeping_hours"/>
    <x:tableColumn id="4" name="housekeeping_payroll"/>
    <x:tableColumn id="5" name="fixed_staff_fte"/>
    <x:tableColumn id="6" name="fixed_staff_payrol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CaseUpdates" displayName="tblCaseUpdates" ref="C223:J230" headerRowCount="1" totalsRowCount="0" totalsRowShown="0">
  <x:tableColumns count="8">
    <x:tableColumn id="1" name="update_id"/>
    <x:tableColumn id="2" name="as_of_date"/>
    <x:tableColumn id="3" name="effective_start"/>
    <x:tableColumn id="4" name="effective_end"/>
    <x:tableColumn id="5" name="category"/>
    <x:tableColumn id="6" name="observation"/>
    <x:tableColumn id="7" name="evidence_status"/>
    <x:tableColumn id="8" name="forecast_relev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BudgetAssumptions" displayName="tblBudgetAssumptions" ref="C7:R19" headerRowCount="1" totalsRowCount="0" totalsRowShown="0">
  <x:tableColumns count="16">
    <x:tableColumn id="1" name="case_version"/>
    <x:tableColumn id="2" name="period"/>
    <x:tableColumn id="3" name="rooms_available"/>
    <x:tableColumn id="4" name="total_occupied_room_nights"/>
    <x:tableColumn id="5" name="corporate_share"/>
    <x:tableColumn id="6" name="retail_adr"/>
    <x:tableColumn id="7" name="corporate_adr"/>
    <x:tableColumn id="8" name="housekeeping_hours_per_occupied_room"/>
    <x:tableColumn id="9" name="housekeeping_loaded_wage_per_hour"/>
    <x:tableColumn id="10" name="guest_service_cost_per_occupied_room"/>
    <x:tableColumn id="11" name="distribution_fee_rate"/>
    <x:tableColumn id="12" name="fixed_staff_fte"/>
    <x:tableColumn id="13" name="fixed_staff_loaded_cost_per_fte"/>
    <x:tableColumn id="14" name="rent"/>
    <x:tableColumn id="15" name="property_overhead"/>
    <x:tableColumn id="16" name="marketing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9dceff27224fa4" /><Relationship Type="http://schemas.openxmlformats.org/officeDocument/2006/relationships/table" Target="/xl/tables/table2.xml" Id="Rd79f10af8ec94d80" /><Relationship Type="http://schemas.openxmlformats.org/officeDocument/2006/relationships/table" Target="/xl/tables/table3.xml" Id="R8b6d331356004643" /><Relationship Type="http://schemas.openxmlformats.org/officeDocument/2006/relationships/table" Target="/xl/tables/table4.xml" Id="R0303a68179504bf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5.xml" Id="R337b155e6cae477a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3" max="3" width="25" hidden="0" customWidth="1"/>
    <x:col min="4" max="4" width="80" hidden="0" customWidth="1"/>
    <x:col min="5" max="5" width="20" hidden="0" customWidth="1"/>
  </x:cols>
  <x:sheetData>
    <x:row r="2" ht="25" customHeight="1">
      <x:c r="C2" s="3" t="str">
        <x:v>Palmetto Stay — Operating Performance Review &amp; Reforecast</x:v>
      </x:c>
      <x:c r="D2" s="3"/>
      <x:c r="E2" s="3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>
      <x:c r="C3" s="2"/>
      <x:c r="D3" s="2"/>
      <x:c r="E3" s="2"/>
    </x:row>
    <x:row r="4">
      <x:c r="C4" s="17" t="str">
        <x:v>SYNTHETIC DATA: Palmetto Stay is fictional. All company-specific budgets, actuals, operating records, staffing information, and management updates are synthetic and contain no confidential company information.</x:v>
      </x:c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/>
      <x:c r="P4" s="25"/>
    </x:row>
    <x:row r="5">
      <x:c r="C5" s="21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6"/>
    </x:row>
    <x:row r="6">
      <x:c r="C6" s="2"/>
      <x:c r="D6" s="2"/>
      <x:c r="E6" s="2"/>
    </x:row>
    <x:row r="7" ht="28" customHeight="1">
      <x:c r="C7" s="37" t="str">
        <x:v>Workbook purpose</x:v>
      </x:c>
      <x:c r="D7" s="38" t="str">
        <x:v>Analyze frozen recorded actuals through June 2026 against the approved budget and prior year.</x:v>
      </x:c>
      <x:c r="E7" s="2"/>
    </x:row>
    <x:row r="8" ht="28" customHeight="1">
      <x:c r="C8" s="37" t="str">
        <x:v>Case version</x:v>
      </x:c>
      <x:c r="D8" s="38" t="str">
        <x:v>v1.0</x:v>
      </x:c>
      <x:c r="E8" s="2"/>
    </x:row>
    <x:row r="9" ht="28" customHeight="1">
      <x:c r="C9" s="37" t="str">
        <x:v>Current build status</x:v>
      </x:c>
      <x:c r="D9" s="38" t="str">
        <x:v>Phase 3 — actual performance, KPI analysis, and variance attribution</x:v>
      </x:c>
      <x:c r="E9" s="2"/>
    </x:row>
    <x:row r="10">
      <x:c r="C10" s="2" t="str">
        <x:v>Analysis cutoff</x:v>
      </x:c>
      <x:c r="D10" s="168" t="n">
        <x:v>46211</x:v>
      </x:c>
      <x:c r="E10" s="2"/>
    </x:row>
    <x:row r="11">
      <x:c r="C11" s="30" t="str">
        <x:v>Worksheet</x:v>
      </x:c>
      <x:c r="D11" s="30" t="str">
        <x:v>Role</x:v>
      </x:c>
      <x:c r="E11" s="30" t="str">
        <x:v>Phase 3 status</x:v>
      </x:c>
    </x:row>
    <x:row r="12">
      <x:c r="C12" s="31" t="str">
        <x:v>Start</x:v>
      </x:c>
      <x:c r="D12" s="31" t="str">
        <x:v>Purpose, navigation, conventions, and use instructions</x:v>
      </x:c>
      <x:c r="E12" s="31" t="str">
        <x:v>Complete</x:v>
      </x:c>
    </x:row>
    <x:row r="13">
      <x:c r="C13" s="32" t="str">
        <x:v>Data</x:v>
      </x:c>
      <x:c r="D13" s="32" t="str">
        <x:v>Frozen recorded actuals and dated case information</x:v>
      </x:c>
      <x:c r="E13" s="32" t="str">
        <x:v>Imported</x:v>
      </x:c>
    </x:row>
    <x:row r="14">
      <x:c r="C14" s="32" t="str">
        <x:v>Assumptions</x:v>
      </x:c>
      <x:c r="D14" s="32" t="str">
        <x:v>Frozen approved 2026 budget drivers</x:v>
      </x:c>
      <x:c r="E14" s="32" t="str">
        <x:v>Imported</x:v>
      </x:c>
    </x:row>
    <x:row r="15">
      <x:c r="C15" s="32" t="str">
        <x:v>Budget</x:v>
      </x:c>
      <x:c r="D15" s="32" t="str">
        <x:v>Formula-driven approved 2026 operating budget</x:v>
      </x:c>
      <x:c r="E15" s="32" t="str">
        <x:v>Complete</x:v>
      </x:c>
    </x:row>
    <x:row r="16">
      <x:c r="C16" s="32" t="str">
        <x:v>Forecast</x:v>
      </x:c>
      <x:c r="D16" s="32" t="str">
        <x:v>Actualized forecast and scenarios</x:v>
      </x:c>
      <x:c r="E16" s="32" t="str">
        <x:v>Phase 4</x:v>
      </x:c>
    </x:row>
    <x:row r="17">
      <x:c r="C17" s="32" t="str">
        <x:v>Variance</x:v>
      </x:c>
      <x:c r="D17" s="32" t="str">
        <x:v>Actual-versus-budget analysis</x:v>
      </x:c>
      <x:c r="E17" s="32" t="str">
        <x:v>Complete</x:v>
      </x:c>
    </x:row>
    <x:row r="18">
      <x:c r="C18" s="32" t="str">
        <x:v>Review</x:v>
      </x:c>
      <x:c r="D18" s="32" t="str">
        <x:v>Two-page management-facing review</x:v>
      </x:c>
      <x:c r="E18" s="32" t="str">
        <x:v>Later phase</x:v>
      </x:c>
    </x:row>
    <x:row r="19">
      <x:c r="C19" s="33" t="str">
        <x:v>Checks</x:v>
      </x:c>
      <x:c r="D19" s="33" t="str">
        <x:v>Terminal source, model, aggregation, and package controls</x:v>
      </x:c>
      <x:c r="E19" s="33" t="str">
        <x:v>Complete</x:v>
      </x:c>
    </x:row>
    <x:row r="20">
      <x:c r="C20" s="2"/>
      <x:c r="D20" s="2"/>
      <x:c r="E20" s="2"/>
    </x:row>
    <x:row r="21" ht="34" customHeight="1">
      <x:c r="C21" s="37" t="str">
        <x:v>Model-use instructions</x:v>
      </x:c>
      <x:c r="D21" s="38" t="str">
        <x:v>Review the frozen source tables, trace the Variance analysis to Data and Budget, and inspect formulas before using results.</x:v>
      </x:c>
      <x:c r="E21" s="2"/>
    </x:row>
    <x:row r="22" ht="34" customHeight="1">
      <x:c r="C22" s="39" t="str">
        <x:v>Required control step</x:v>
      </x:c>
      <x:c r="D22" s="40" t="str">
        <x:v>Review the Checks tab before relying on this workbook. This instruction is static and is not linked to a check result.</x:v>
      </x:c>
      <x:c r="E22" s="2"/>
    </x:row>
    <x:row r="23" ht="34" customHeight="1">
      <x:c r="C23" s="37" t="str">
        <x:v>Later-phase status</x:v>
      </x:c>
      <x:c r="D23" s="38" t="str">
        <x:v>Forecast and Review remain status-only. No reforecast, scenarios, management conclusions, charts, PDF, or portfolio images are available in Phase 3.</x:v>
      </x:c>
      <x:c r="E23" s="2"/>
    </x:row>
    <x:row r="24" ht="34" customHeight="1">
      <x:c r="C24" s="37" t="str">
        <x:v>Expense convention</x:v>
      </x:c>
      <x:c r="D24" s="38" t="str">
        <x:v>Expenses are positive values and are subtracted when calculating property operating contribution.</x:v>
      </x:c>
      <x:c r="E24" s="2"/>
    </x:row>
    <x:row r="25" ht="34" customHeight="1">
      <x:c r="C25" s="37" t="str">
        <x:v>Variance convention</x:v>
      </x:c>
      <x:c r="D25" s="38" t="str">
        <x:v>Revenue and contribution use Actual minus Budget; expense tables also use Actual cost minus Budget cost, while contribution impacts reverse expense changes.</x:v>
      </x:c>
      <x:c r="E25" s="2"/>
    </x:row>
    <x:row r="26">
      <x:c r="C26" s="2"/>
      <x:c r="D26" s="2"/>
      <x:c r="E26" s="2"/>
    </x:row>
    <x:row r="27">
      <x:c r="C27" s="2"/>
      <x:c r="D27" s="2"/>
      <x:c r="E27" s="2"/>
    </x:row>
    <x:row r="28">
      <x:c r="C28" s="30" t="str">
        <x:v>Color and format legend</x:v>
      </x:c>
      <x:c r="D28" s="30" t="str">
        <x:v>Meaning</x:v>
      </x:c>
      <x:c r="E28" s="2"/>
    </x:row>
    <x:row r="29">
      <x:c r="C29" s="34" t="str">
        <x:v>Approved source input</x:v>
      </x:c>
      <x:c r="D29" s="2" t="str">
        <x:v>Blue font with pale-yellow fill</x:v>
      </x:c>
      <x:c r="E29" s="2"/>
    </x:row>
    <x:row r="30">
      <x:c r="C30" s="35" t="str">
        <x:v>Recorded source fact</x:v>
      </x:c>
      <x:c r="D30" s="2" t="str">
        <x:v>Dark text with pale-blue fill</x:v>
      </x:c>
      <x:c r="E30" s="2"/>
    </x:row>
    <x:row r="31">
      <x:c r="C31" s="36" t="str">
        <x:v>Cross-sheet formula</x:v>
      </x:c>
      <x:c r="D31" s="2" t="str">
        <x:v>Green font</x:v>
      </x:c>
      <x:c r="E31" s="2"/>
    </x:row>
    <x:row r="32">
      <x:c r="C32" s="2" t="str">
        <x:v>Same-sheet formula or result</x:v>
      </x:c>
      <x:c r="D32" s="2" t="str">
        <x:v>Black font</x:v>
      </x:c>
      <x:c r="E32" s="2"/>
    </x:row>
    <x:row r="33">
      <x:c r="C33" s="2"/>
      <x:c r="D33" s="2"/>
      <x:c r="E33" s="2"/>
    </x:row>
    <x:row r="34">
      <x:c r="C34" s="27" t="str">
        <x:v>Property</x:v>
      </x:c>
      <x:c r="D34" s="2" t="str">
        <x:v>One independently operated, leased limited-service hotel with 100 rooms</x:v>
      </x:c>
      <x:c r="E34" s="2"/>
    </x:row>
    <x:row r="35">
      <x:c r="C35" s="27" t="str">
        <x:v>Scope</x:v>
      </x:c>
      <x:c r="D35" s="2" t="str">
        <x:v>Room revenue and modeled property operating costs only</x:v>
      </x:c>
      <x:c r="E35" s="2"/>
    </x:row>
  </x:sheetData>
  <x:mergeCells>
    <x:mergeCell ref="C2:P2"/>
    <x:mergeCell ref="C4:P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6A6A6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3" max="3" width="16" hidden="0" customWidth="1"/>
    <x:col min="4" max="4" width="13" hidden="0" customWidth="1"/>
    <x:col min="5" max="5" width="24" hidden="0" customWidth="1"/>
    <x:col min="6" max="6" width="28" hidden="0" customWidth="1"/>
    <x:col min="7" max="7" width="20" hidden="0" customWidth="1"/>
    <x:col min="8" max="8" width="65" hidden="0" customWidth="1"/>
    <x:col min="9" max="9" width="23" hidden="0" customWidth="1"/>
    <x:col min="10" max="10" width="65" hidden="0" customWidth="1"/>
  </x:cols>
  <x:sheetData>
    <x:row r="2" ht="25" customHeight="1">
      <x:c r="C2" s="3" t="str">
        <x:v>Frozen source data</x:v>
      </x:c>
      <x:c r="D2" s="3"/>
      <x:c r="E2" s="3"/>
      <x:c r="F2" s="3"/>
      <x:c r="G2" s="3"/>
      <x:c r="H2" s="3"/>
      <x:c r="I2" s="3"/>
      <x:c r="J2" s="3"/>
    </x:row>
    <x:row r="3">
      <x:c r="C3" s="41" t="str">
        <x:v>Static imports from case version v1.0. Actual KPIs and variances are intentionally not calculated on this sheet.</x:v>
      </x:c>
      <x:c r="D3" s="41"/>
      <x:c r="E3" s="41"/>
      <x:c r="F3" s="41"/>
      <x:c r="G3" s="41"/>
      <x:c r="H3" s="41"/>
      <x:c r="I3" s="41"/>
      <x:c r="J3" s="41"/>
    </x:row>
    <x:row r="4">
      <x:c r="C4" s="2"/>
      <x:c r="D4" s="2"/>
      <x:c r="E4" s="2"/>
      <x:c r="F4" s="2"/>
      <x:c r="G4" s="2"/>
      <x:c r="H4" s="2"/>
      <x:c r="I4" s="2"/>
      <x:c r="J4" s="2"/>
    </x:row>
    <x:row r="5">
      <x:c r="C5" s="41" t="str">
        <x:v>Source: data/financial_actuals.csv | Case version: v1.0 | Static recorded facts</x:v>
      </x:c>
      <x:c r="D5" s="41"/>
      <x:c r="E5" s="41"/>
      <x:c r="F5" s="41"/>
      <x:c r="G5" s="41"/>
      <x:c r="H5" s="41"/>
      <x:c r="I5" s="41"/>
      <x:c r="J5" s="41"/>
    </x:row>
    <x:row r="6">
      <x:c r="C6" s="2"/>
      <x:c r="D6" s="2"/>
      <x:c r="E6" s="2"/>
      <x:c r="F6" s="2"/>
      <x:c r="G6" s="2"/>
      <x:c r="H6" s="2"/>
      <x:c r="I6" s="2"/>
      <x:c r="J6" s="2"/>
    </x:row>
    <x:row r="7" ht="34" customHeight="1">
      <x:c r="C7" s="45" t="str">
        <x:v>case_version</x:v>
      </x:c>
      <x:c r="D7" s="45" t="str">
        <x:v>period</x:v>
      </x:c>
      <x:c r="E7" s="45" t="str">
        <x:v>account_code</x:v>
      </x:c>
      <x:c r="F7" s="45" t="str">
        <x:v>account_name</x:v>
      </x:c>
      <x:c r="G7" s="45" t="str">
        <x:v>amount_usd</x:v>
      </x:c>
      <x:c r="H7" s="2"/>
      <x:c r="I7" s="2"/>
      <x:c r="J7" s="2"/>
    </x:row>
    <x:row r="8">
      <x:c r="C8" s="46" t="str">
        <x:v>v1.0</x:v>
      </x:c>
      <x:c r="D8" s="48" t="n">
        <x:v>45658</x:v>
      </x:c>
      <x:c r="E8" s="46" t="str">
        <x:v>4000</x:v>
      </x:c>
      <x:c r="F8" s="46" t="str">
        <x:v>Room Revenue</x:v>
      </x:c>
      <x:c r="G8" s="50" t="n">
        <x:v>223203.5</x:v>
      </x:c>
      <x:c r="H8" s="2"/>
      <x:c r="I8" s="2"/>
      <x:c r="J8" s="2"/>
    </x:row>
    <x:row r="9">
      <x:c r="C9" s="46" t="str">
        <x:v>v1.0</x:v>
      </x:c>
      <x:c r="D9" s="48" t="n">
        <x:v>45658</x:v>
      </x:c>
      <x:c r="E9" s="46" t="str">
        <x:v>5000</x:v>
      </x:c>
      <x:c r="F9" s="46" t="str">
        <x:v>Housekeeping Payroll</x:v>
      </x:c>
      <x:c r="G9" s="50" t="n">
        <x:v>18834.45</x:v>
      </x:c>
      <x:c r="H9" s="2"/>
      <x:c r="I9" s="2"/>
      <x:c r="J9" s="2"/>
    </x:row>
    <x:row r="10">
      <x:c r="C10" s="46" t="str">
        <x:v>v1.0</x:v>
      </x:c>
      <x:c r="D10" s="48" t="n">
        <x:v>45658</x:v>
      </x:c>
      <x:c r="E10" s="46" t="str">
        <x:v>5100</x:v>
      </x:c>
      <x:c r="F10" s="46" t="str">
        <x:v>Guest Services</x:v>
      </x:c>
      <x:c r="G10" s="50" t="n">
        <x:v>28458</x:v>
      </x:c>
      <x:c r="H10" s="2"/>
      <x:c r="I10" s="2"/>
      <x:c r="J10" s="2"/>
    </x:row>
    <x:row r="11">
      <x:c r="C11" s="46" t="str">
        <x:v>v1.0</x:v>
      </x:c>
      <x:c r="D11" s="48" t="n">
        <x:v>45658</x:v>
      </x:c>
      <x:c r="E11" s="46" t="str">
        <x:v>5200</x:v>
      </x:c>
      <x:c r="F11" s="46" t="str">
        <x:v>Distribution and Payment</x:v>
      </x:c>
      <x:c r="G11" s="50" t="n">
        <x:v>8928.14</x:v>
      </x:c>
      <x:c r="H11" s="2"/>
      <x:c r="I11" s="2"/>
      <x:c r="J11" s="2"/>
    </x:row>
    <x:row r="12">
      <x:c r="C12" s="46" t="str">
        <x:v>v1.0</x:v>
      </x:c>
      <x:c r="D12" s="48" t="n">
        <x:v>45658</x:v>
      </x:c>
      <x:c r="E12" s="46" t="str">
        <x:v>6000</x:v>
      </x:c>
      <x:c r="F12" s="46" t="str">
        <x:v>Fixed Staff Payroll</x:v>
      </x:c>
      <x:c r="G12" s="50" t="n">
        <x:v>28750</x:v>
      </x:c>
      <x:c r="H12" s="2"/>
      <x:c r="I12" s="2"/>
      <x:c r="J12" s="2"/>
    </x:row>
    <x:row r="13">
      <x:c r="C13" s="46" t="str">
        <x:v>v1.0</x:v>
      </x:c>
      <x:c r="D13" s="48" t="n">
        <x:v>45658</x:v>
      </x:c>
      <x:c r="E13" s="46" t="str">
        <x:v>6100</x:v>
      </x:c>
      <x:c r="F13" s="46" t="str">
        <x:v>Rent</x:v>
      </x:c>
      <x:c r="G13" s="50" t="n">
        <x:v>76000</x:v>
      </x:c>
      <x:c r="H13" s="2"/>
      <x:c r="I13" s="2"/>
      <x:c r="J13" s="2"/>
    </x:row>
    <x:row r="14">
      <x:c r="C14" s="46" t="str">
        <x:v>v1.0</x:v>
      </x:c>
      <x:c r="D14" s="48" t="n">
        <x:v>45658</x:v>
      </x:c>
      <x:c r="E14" s="46" t="str">
        <x:v>6200</x:v>
      </x:c>
      <x:c r="F14" s="46" t="str">
        <x:v>Property Overhead</x:v>
      </x:c>
      <x:c r="G14" s="50" t="n">
        <x:v>26800</x:v>
      </x:c>
      <x:c r="H14" s="2"/>
      <x:c r="I14" s="2"/>
      <x:c r="J14" s="2"/>
    </x:row>
    <x:row r="15">
      <x:c r="C15" s="46" t="str">
        <x:v>v1.0</x:v>
      </x:c>
      <x:c r="D15" s="48" t="n">
        <x:v>45658</x:v>
      </x:c>
      <x:c r="E15" s="46" t="str">
        <x:v>6300</x:v>
      </x:c>
      <x:c r="F15" s="46" t="str">
        <x:v>Marketing</x:v>
      </x:c>
      <x:c r="G15" s="50" t="n">
        <x:v>9000</x:v>
      </x:c>
      <x:c r="H15" s="2"/>
      <x:c r="I15" s="2"/>
      <x:c r="J15" s="2"/>
    </x:row>
    <x:row r="16">
      <x:c r="C16" s="46" t="str">
        <x:v>v1.0</x:v>
      </x:c>
      <x:c r="D16" s="48" t="n">
        <x:v>45689</x:v>
      </x:c>
      <x:c r="E16" s="46" t="str">
        <x:v>4000</x:v>
      </x:c>
      <x:c r="F16" s="46" t="str">
        <x:v>Room Revenue</x:v>
      </x:c>
      <x:c r="G16" s="50" t="n">
        <x:v>221271</x:v>
      </x:c>
      <x:c r="H16" s="2"/>
      <x:c r="I16" s="2"/>
      <x:c r="J16" s="2"/>
    </x:row>
    <x:row r="17">
      <x:c r="C17" s="46" t="str">
        <x:v>v1.0</x:v>
      </x:c>
      <x:c r="D17" s="48" t="n">
        <x:v>45689</x:v>
      </x:c>
      <x:c r="E17" s="46" t="str">
        <x:v>5000</x:v>
      </x:c>
      <x:c r="F17" s="46" t="str">
        <x:v>Housekeeping Payroll</x:v>
      </x:c>
      <x:c r="G17" s="50" t="n">
        <x:v>18110.4</x:v>
      </x:c>
      <x:c r="H17" s="2"/>
      <x:c r="I17" s="2"/>
      <x:c r="J17" s="2"/>
    </x:row>
    <x:row r="18">
      <x:c r="C18" s="46" t="str">
        <x:v>v1.0</x:v>
      </x:c>
      <x:c r="D18" s="48" t="n">
        <x:v>45689</x:v>
      </x:c>
      <x:c r="E18" s="46" t="str">
        <x:v>5100</x:v>
      </x:c>
      <x:c r="F18" s="46" t="str">
        <x:v>Guest Services</x:v>
      </x:c>
      <x:c r="G18" s="50" t="n">
        <x:v>28028</x:v>
      </x:c>
      <x:c r="H18" s="2"/>
      <x:c r="I18" s="2"/>
      <x:c r="J18" s="2"/>
    </x:row>
    <x:row r="19">
      <x:c r="C19" s="46" t="str">
        <x:v>v1.0</x:v>
      </x:c>
      <x:c r="D19" s="48" t="n">
        <x:v>45689</x:v>
      </x:c>
      <x:c r="E19" s="46" t="str">
        <x:v>5200</x:v>
      </x:c>
      <x:c r="F19" s="46" t="str">
        <x:v>Distribution and Payment</x:v>
      </x:c>
      <x:c r="G19" s="50" t="n">
        <x:v>8850.84</x:v>
      </x:c>
      <x:c r="H19" s="2"/>
      <x:c r="I19" s="2"/>
      <x:c r="J19" s="2"/>
    </x:row>
    <x:row r="20">
      <x:c r="C20" s="46" t="str">
        <x:v>v1.0</x:v>
      </x:c>
      <x:c r="D20" s="48" t="n">
        <x:v>45689</x:v>
      </x:c>
      <x:c r="E20" s="46" t="str">
        <x:v>6000</x:v>
      </x:c>
      <x:c r="F20" s="46" t="str">
        <x:v>Fixed Staff Payroll</x:v>
      </x:c>
      <x:c r="G20" s="50" t="n">
        <x:v>28800</x:v>
      </x:c>
      <x:c r="H20" s="2"/>
      <x:c r="I20" s="2"/>
      <x:c r="J20" s="2"/>
    </x:row>
    <x:row r="21">
      <x:c r="C21" s="46" t="str">
        <x:v>v1.0</x:v>
      </x:c>
      <x:c r="D21" s="48" t="n">
        <x:v>45689</x:v>
      </x:c>
      <x:c r="E21" s="46" t="str">
        <x:v>6100</x:v>
      </x:c>
      <x:c r="F21" s="46" t="str">
        <x:v>Rent</x:v>
      </x:c>
      <x:c r="G21" s="50" t="n">
        <x:v>76000</x:v>
      </x:c>
      <x:c r="H21" s="2"/>
      <x:c r="I21" s="2"/>
      <x:c r="J21" s="2"/>
    </x:row>
    <x:row r="22">
      <x:c r="C22" s="46" t="str">
        <x:v>v1.0</x:v>
      </x:c>
      <x:c r="D22" s="48" t="n">
        <x:v>45689</x:v>
      </x:c>
      <x:c r="E22" s="46" t="str">
        <x:v>6200</x:v>
      </x:c>
      <x:c r="F22" s="46" t="str">
        <x:v>Property Overhead</x:v>
      </x:c>
      <x:c r="G22" s="50" t="n">
        <x:v>26950</x:v>
      </x:c>
      <x:c r="H22" s="2"/>
      <x:c r="I22" s="2"/>
      <x:c r="J22" s="2"/>
    </x:row>
    <x:row r="23">
      <x:c r="C23" s="46" t="str">
        <x:v>v1.0</x:v>
      </x:c>
      <x:c r="D23" s="48" t="n">
        <x:v>45689</x:v>
      </x:c>
      <x:c r="E23" s="46" t="str">
        <x:v>6300</x:v>
      </x:c>
      <x:c r="F23" s="46" t="str">
        <x:v>Marketing</x:v>
      </x:c>
      <x:c r="G23" s="50" t="n">
        <x:v>8500</x:v>
      </x:c>
      <x:c r="H23" s="2"/>
      <x:c r="I23" s="2"/>
      <x:c r="J23" s="2"/>
    </x:row>
    <x:row r="24">
      <x:c r="C24" s="46" t="str">
        <x:v>v1.0</x:v>
      </x:c>
      <x:c r="D24" s="48" t="n">
        <x:v>45717</x:v>
      </x:c>
      <x:c r="E24" s="46" t="str">
        <x:v>4000</x:v>
      </x:c>
      <x:c r="F24" s="46" t="str">
        <x:v>Room Revenue</x:v>
      </x:c>
      <x:c r="G24" s="50" t="n">
        <x:v>289432.5</x:v>
      </x:c>
      <x:c r="H24" s="2"/>
      <x:c r="I24" s="2"/>
      <x:c r="J24" s="2"/>
    </x:row>
    <x:row r="25">
      <x:c r="C25" s="46" t="str">
        <x:v>v1.0</x:v>
      </x:c>
      <x:c r="D25" s="48" t="n">
        <x:v>45717</x:v>
      </x:c>
      <x:c r="E25" s="46" t="str">
        <x:v>5000</x:v>
      </x:c>
      <x:c r="F25" s="46" t="str">
        <x:v>Housekeeping Payroll</x:v>
      </x:c>
      <x:c r="G25" s="50" t="n">
        <x:v>22610.86</x:v>
      </x:c>
      <x:c r="H25" s="2"/>
      <x:c r="I25" s="2"/>
      <x:c r="J25" s="2"/>
    </x:row>
    <x:row r="26">
      <x:c r="C26" s="46" t="str">
        <x:v>v1.0</x:v>
      </x:c>
      <x:c r="D26" s="48" t="n">
        <x:v>45717</x:v>
      </x:c>
      <x:c r="E26" s="46" t="str">
        <x:v>5100</x:v>
      </x:c>
      <x:c r="F26" s="46" t="str">
        <x:v>Guest Services</x:v>
      </x:c>
      <x:c r="G26" s="50" t="n">
        <x:v>35935.2</x:v>
      </x:c>
      <x:c r="H26" s="2"/>
      <x:c r="I26" s="2"/>
      <x:c r="J26" s="2"/>
    </x:row>
    <x:row r="27">
      <x:c r="C27" s="46" t="str">
        <x:v>v1.0</x:v>
      </x:c>
      <x:c r="D27" s="48" t="n">
        <x:v>45717</x:v>
      </x:c>
      <x:c r="E27" s="46" t="str">
        <x:v>5200</x:v>
      </x:c>
      <x:c r="F27" s="46" t="str">
        <x:v>Distribution and Payment</x:v>
      </x:c>
      <x:c r="G27" s="50" t="n">
        <x:v>11577.3</x:v>
      </x:c>
      <x:c r="H27" s="2"/>
      <x:c r="I27" s="2"/>
      <x:c r="J27" s="2"/>
    </x:row>
    <x:row r="28">
      <x:c r="C28" s="46" t="str">
        <x:v>v1.0</x:v>
      </x:c>
      <x:c r="D28" s="48" t="n">
        <x:v>45717</x:v>
      </x:c>
      <x:c r="E28" s="46" t="str">
        <x:v>6000</x:v>
      </x:c>
      <x:c r="F28" s="46" t="str">
        <x:v>Fixed Staff Payroll</x:v>
      </x:c>
      <x:c r="G28" s="50" t="n">
        <x:v>28322</x:v>
      </x:c>
      <x:c r="H28" s="2"/>
      <x:c r="I28" s="2"/>
      <x:c r="J28" s="2"/>
    </x:row>
    <x:row r="29">
      <x:c r="C29" s="46" t="str">
        <x:v>v1.0</x:v>
      </x:c>
      <x:c r="D29" s="48" t="n">
        <x:v>45717</x:v>
      </x:c>
      <x:c r="E29" s="46" t="str">
        <x:v>6100</x:v>
      </x:c>
      <x:c r="F29" s="46" t="str">
        <x:v>Rent</x:v>
      </x:c>
      <x:c r="G29" s="50" t="n">
        <x:v>76000</x:v>
      </x:c>
      <x:c r="H29" s="2"/>
      <x:c r="I29" s="2"/>
      <x:c r="J29" s="2"/>
    </x:row>
    <x:row r="30">
      <x:c r="C30" s="46" t="str">
        <x:v>v1.0</x:v>
      </x:c>
      <x:c r="D30" s="48" t="n">
        <x:v>45717</x:v>
      </x:c>
      <x:c r="E30" s="46" t="str">
        <x:v>6200</x:v>
      </x:c>
      <x:c r="F30" s="46" t="str">
        <x:v>Property Overhead</x:v>
      </x:c>
      <x:c r="G30" s="50" t="n">
        <x:v>27100</x:v>
      </x:c>
      <x:c r="H30" s="2"/>
      <x:c r="I30" s="2"/>
      <x:c r="J30" s="2"/>
    </x:row>
    <x:row r="31">
      <x:c r="C31" s="46" t="str">
        <x:v>v1.0</x:v>
      </x:c>
      <x:c r="D31" s="48" t="n">
        <x:v>45717</x:v>
      </x:c>
      <x:c r="E31" s="46" t="str">
        <x:v>6300</x:v>
      </x:c>
      <x:c r="F31" s="46" t="str">
        <x:v>Marketing</x:v>
      </x:c>
      <x:c r="G31" s="50" t="n">
        <x:v>10500</x:v>
      </x:c>
      <x:c r="H31" s="2"/>
      <x:c r="I31" s="2"/>
      <x:c r="J31" s="2"/>
    </x:row>
    <x:row r="32">
      <x:c r="C32" s="46" t="str">
        <x:v>v1.0</x:v>
      </x:c>
      <x:c r="D32" s="48" t="n">
        <x:v>45748</x:v>
      </x:c>
      <x:c r="E32" s="46" t="str">
        <x:v>4000</x:v>
      </x:c>
      <x:c r="F32" s="46" t="str">
        <x:v>Room Revenue</x:v>
      </x:c>
      <x:c r="G32" s="50" t="n">
        <x:v>306507</x:v>
      </x:c>
      <x:c r="H32" s="2"/>
      <x:c r="I32" s="2"/>
      <x:c r="J32" s="2"/>
    </x:row>
    <x:row r="33">
      <x:c r="C33" s="46" t="str">
        <x:v>v1.0</x:v>
      </x:c>
      <x:c r="D33" s="48" t="n">
        <x:v>45748</x:v>
      </x:c>
      <x:c r="E33" s="46" t="str">
        <x:v>5000</x:v>
      </x:c>
      <x:c r="F33" s="46" t="str">
        <x:v>Housekeeping Payroll</x:v>
      </x:c>
      <x:c r="G33" s="50" t="n">
        <x:v>23436.6</x:v>
      </x:c>
      <x:c r="H33" s="2"/>
      <x:c r="I33" s="2"/>
      <x:c r="J33" s="2"/>
    </x:row>
    <x:row r="34">
      <x:c r="C34" s="46" t="str">
        <x:v>v1.0</x:v>
      </x:c>
      <x:c r="D34" s="48" t="n">
        <x:v>45748</x:v>
      </x:c>
      <x:c r="E34" s="46" t="str">
        <x:v>5100</x:v>
      </x:c>
      <x:c r="F34" s="46" t="str">
        <x:v>Guest Services</x:v>
      </x:c>
      <x:c r="G34" s="50" t="n">
        <x:v>37386</x:v>
      </x:c>
      <x:c r="H34" s="2"/>
      <x:c r="I34" s="2"/>
      <x:c r="J34" s="2"/>
    </x:row>
    <x:row r="35">
      <x:c r="C35" s="46" t="str">
        <x:v>v1.0</x:v>
      </x:c>
      <x:c r="D35" s="48" t="n">
        <x:v>45748</x:v>
      </x:c>
      <x:c r="E35" s="46" t="str">
        <x:v>5200</x:v>
      </x:c>
      <x:c r="F35" s="46" t="str">
        <x:v>Distribution and Payment</x:v>
      </x:c>
      <x:c r="G35" s="50" t="n">
        <x:v>12260.28</x:v>
      </x:c>
      <x:c r="H35" s="2"/>
      <x:c r="I35" s="2"/>
      <x:c r="J35" s="2"/>
    </x:row>
    <x:row r="36">
      <x:c r="C36" s="46" t="str">
        <x:v>v1.0</x:v>
      </x:c>
      <x:c r="D36" s="48" t="n">
        <x:v>45748</x:v>
      </x:c>
      <x:c r="E36" s="46" t="str">
        <x:v>6000</x:v>
      </x:c>
      <x:c r="F36" s="46" t="str">
        <x:v>Fixed Staff Payroll</x:v>
      </x:c>
      <x:c r="G36" s="50" t="n">
        <x:v>29000</x:v>
      </x:c>
      <x:c r="H36" s="2"/>
      <x:c r="I36" s="2"/>
      <x:c r="J36" s="2"/>
    </x:row>
    <x:row r="37">
      <x:c r="C37" s="46" t="str">
        <x:v>v1.0</x:v>
      </x:c>
      <x:c r="D37" s="48" t="n">
        <x:v>45748</x:v>
      </x:c>
      <x:c r="E37" s="46" t="str">
        <x:v>6100</x:v>
      </x:c>
      <x:c r="F37" s="46" t="str">
        <x:v>Rent</x:v>
      </x:c>
      <x:c r="G37" s="50" t="n">
        <x:v>76000</x:v>
      </x:c>
      <x:c r="H37" s="2"/>
      <x:c r="I37" s="2"/>
      <x:c r="J37" s="2"/>
    </x:row>
    <x:row r="38">
      <x:c r="C38" s="46" t="str">
        <x:v>v1.0</x:v>
      </x:c>
      <x:c r="D38" s="48" t="n">
        <x:v>45748</x:v>
      </x:c>
      <x:c r="E38" s="46" t="str">
        <x:v>6200</x:v>
      </x:c>
      <x:c r="F38" s="46" t="str">
        <x:v>Property Overhead</x:v>
      </x:c>
      <x:c r="G38" s="50" t="n">
        <x:v>27250</x:v>
      </x:c>
      <x:c r="H38" s="2"/>
      <x:c r="I38" s="2"/>
      <x:c r="J38" s="2"/>
    </x:row>
    <x:row r="39">
      <x:c r="C39" s="46" t="str">
        <x:v>v1.0</x:v>
      </x:c>
      <x:c r="D39" s="48" t="n">
        <x:v>45748</x:v>
      </x:c>
      <x:c r="E39" s="46" t="str">
        <x:v>6300</x:v>
      </x:c>
      <x:c r="F39" s="46" t="str">
        <x:v>Marketing</x:v>
      </x:c>
      <x:c r="G39" s="50" t="n">
        <x:v>12000</x:v>
      </x:c>
      <x:c r="H39" s="2"/>
      <x:c r="I39" s="2"/>
      <x:c r="J39" s="2"/>
    </x:row>
    <x:row r="40">
      <x:c r="C40" s="46" t="str">
        <x:v>v1.0</x:v>
      </x:c>
      <x:c r="D40" s="48" t="n">
        <x:v>45778</x:v>
      </x:c>
      <x:c r="E40" s="46" t="str">
        <x:v>4000</x:v>
      </x:c>
      <x:c r="F40" s="46" t="str">
        <x:v>Room Revenue</x:v>
      </x:c>
      <x:c r="G40" s="50" t="n">
        <x:v>359046</x:v>
      </x:c>
      <x:c r="H40" s="2"/>
      <x:c r="I40" s="2"/>
      <x:c r="J40" s="2"/>
    </x:row>
    <x:row r="41">
      <x:c r="C41" s="46" t="str">
        <x:v>v1.0</x:v>
      </x:c>
      <x:c r="D41" s="48" t="n">
        <x:v>45778</x:v>
      </x:c>
      <x:c r="E41" s="46" t="str">
        <x:v>5000</x:v>
      </x:c>
      <x:c r="F41" s="46" t="str">
        <x:v>Housekeeping Payroll</x:v>
      </x:c>
      <x:c r="G41" s="50" t="n">
        <x:v>25137.9</x:v>
      </x:c>
      <x:c r="H41" s="2"/>
      <x:c r="I41" s="2"/>
      <x:c r="J41" s="2"/>
    </x:row>
    <x:row r="42">
      <x:c r="C42" s="46" t="str">
        <x:v>v1.0</x:v>
      </x:c>
      <x:c r="D42" s="48" t="n">
        <x:v>45778</x:v>
      </x:c>
      <x:c r="E42" s="46" t="str">
        <x:v>5100</x:v>
      </x:c>
      <x:c r="F42" s="46" t="str">
        <x:v>Guest Services</x:v>
      </x:c>
      <x:c r="G42" s="50" t="n">
        <x:v>42184.8</x:v>
      </x:c>
      <x:c r="H42" s="2"/>
      <x:c r="I42" s="2"/>
      <x:c r="J42" s="2"/>
    </x:row>
    <x:row r="43">
      <x:c r="C43" s="46" t="str">
        <x:v>v1.0</x:v>
      </x:c>
      <x:c r="D43" s="48" t="n">
        <x:v>45778</x:v>
      </x:c>
      <x:c r="E43" s="46" t="str">
        <x:v>5200</x:v>
      </x:c>
      <x:c r="F43" s="46" t="str">
        <x:v>Distribution and Payment</x:v>
      </x:c>
      <x:c r="G43" s="50" t="n">
        <x:v>14361.84</x:v>
      </x:c>
      <x:c r="H43" s="2"/>
      <x:c r="I43" s="2"/>
      <x:c r="J43" s="2"/>
    </x:row>
    <x:row r="44">
      <x:c r="C44" s="46" t="str">
        <x:v>v1.0</x:v>
      </x:c>
      <x:c r="D44" s="48" t="n">
        <x:v>45778</x:v>
      </x:c>
      <x:c r="E44" s="46" t="str">
        <x:v>6000</x:v>
      </x:c>
      <x:c r="F44" s="46" t="str">
        <x:v>Fixed Staff Payroll</x:v>
      </x:c>
      <x:c r="G44" s="50" t="n">
        <x:v>29100</x:v>
      </x:c>
      <x:c r="H44" s="2"/>
      <x:c r="I44" s="2"/>
      <x:c r="J44" s="2"/>
    </x:row>
    <x:row r="45">
      <x:c r="C45" s="46" t="str">
        <x:v>v1.0</x:v>
      </x:c>
      <x:c r="D45" s="48" t="n">
        <x:v>45778</x:v>
      </x:c>
      <x:c r="E45" s="46" t="str">
        <x:v>6100</x:v>
      </x:c>
      <x:c r="F45" s="46" t="str">
        <x:v>Rent</x:v>
      </x:c>
      <x:c r="G45" s="50" t="n">
        <x:v>76000</x:v>
      </x:c>
      <x:c r="H45" s="2"/>
      <x:c r="I45" s="2"/>
      <x:c r="J45" s="2"/>
    </x:row>
    <x:row r="46">
      <x:c r="C46" s="46" t="str">
        <x:v>v1.0</x:v>
      </x:c>
      <x:c r="D46" s="48" t="n">
        <x:v>45778</x:v>
      </x:c>
      <x:c r="E46" s="46" t="str">
        <x:v>6200</x:v>
      </x:c>
      <x:c r="F46" s="46" t="str">
        <x:v>Property Overhead</x:v>
      </x:c>
      <x:c r="G46" s="50" t="n">
        <x:v>27600</x:v>
      </x:c>
      <x:c r="H46" s="2"/>
      <x:c r="I46" s="2"/>
      <x:c r="J46" s="2"/>
    </x:row>
    <x:row r="47">
      <x:c r="C47" s="46" t="str">
        <x:v>v1.0</x:v>
      </x:c>
      <x:c r="D47" s="48" t="n">
        <x:v>45778</x:v>
      </x:c>
      <x:c r="E47" s="46" t="str">
        <x:v>6300</x:v>
      </x:c>
      <x:c r="F47" s="46" t="str">
        <x:v>Marketing</x:v>
      </x:c>
      <x:c r="G47" s="50" t="n">
        <x:v>13500</x:v>
      </x:c>
      <x:c r="H47" s="2"/>
      <x:c r="I47" s="2"/>
      <x:c r="J47" s="2"/>
    </x:row>
    <x:row r="48">
      <x:c r="C48" s="46" t="str">
        <x:v>v1.0</x:v>
      </x:c>
      <x:c r="D48" s="48" t="n">
        <x:v>45809</x:v>
      </x:c>
      <x:c r="E48" s="46" t="str">
        <x:v>4000</x:v>
      </x:c>
      <x:c r="F48" s="46" t="str">
        <x:v>Room Revenue</x:v>
      </x:c>
      <x:c r="G48" s="50" t="n">
        <x:v>376115</x:v>
      </x:c>
      <x:c r="H48" s="2"/>
      <x:c r="I48" s="2"/>
      <x:c r="J48" s="2"/>
    </x:row>
    <x:row r="49">
      <x:c r="C49" s="46" t="str">
        <x:v>v1.0</x:v>
      </x:c>
      <x:c r="D49" s="48" t="n">
        <x:v>45809</x:v>
      </x:c>
      <x:c r="E49" s="46" t="str">
        <x:v>5000</x:v>
      </x:c>
      <x:c r="F49" s="46" t="str">
        <x:v>Housekeeping Payroll</x:v>
      </x:c>
      <x:c r="G49" s="50" t="n">
        <x:v>25738.92</x:v>
      </x:c>
      <x:c r="H49" s="2"/>
      <x:c r="I49" s="2"/>
      <x:c r="J49" s="2"/>
    </x:row>
    <x:row r="50">
      <x:c r="C50" s="46" t="str">
        <x:v>v1.0</x:v>
      </x:c>
      <x:c r="D50" s="48" t="n">
        <x:v>45809</x:v>
      </x:c>
      <x:c r="E50" s="46" t="str">
        <x:v>5100</x:v>
      </x:c>
      <x:c r="F50" s="46" t="str">
        <x:v>Guest Services</x:v>
      </x:c>
      <x:c r="G50" s="50" t="n">
        <x:v>43548</x:v>
      </x:c>
      <x:c r="H50" s="2"/>
      <x:c r="I50" s="2"/>
      <x:c r="J50" s="2"/>
    </x:row>
    <x:row r="51">
      <x:c r="C51" s="46" t="str">
        <x:v>v1.0</x:v>
      </x:c>
      <x:c r="D51" s="48" t="n">
        <x:v>45809</x:v>
      </x:c>
      <x:c r="E51" s="46" t="str">
        <x:v>5200</x:v>
      </x:c>
      <x:c r="F51" s="46" t="str">
        <x:v>Distribution and Payment</x:v>
      </x:c>
      <x:c r="G51" s="50" t="n">
        <x:v>15044.6</x:v>
      </x:c>
      <x:c r="H51" s="2"/>
      <x:c r="I51" s="2"/>
      <x:c r="J51" s="2"/>
    </x:row>
    <x:row r="52">
      <x:c r="C52" s="46" t="str">
        <x:v>v1.0</x:v>
      </x:c>
      <x:c r="D52" s="48" t="n">
        <x:v>45809</x:v>
      </x:c>
      <x:c r="E52" s="46" t="str">
        <x:v>6000</x:v>
      </x:c>
      <x:c r="F52" s="46" t="str">
        <x:v>Fixed Staff Payroll</x:v>
      </x:c>
      <x:c r="G52" s="50" t="n">
        <x:v>29200</x:v>
      </x:c>
      <x:c r="H52" s="2"/>
      <x:c r="I52" s="2"/>
      <x:c r="J52" s="2"/>
    </x:row>
    <x:row r="53">
      <x:c r="C53" s="46" t="str">
        <x:v>v1.0</x:v>
      </x:c>
      <x:c r="D53" s="48" t="n">
        <x:v>45809</x:v>
      </x:c>
      <x:c r="E53" s="46" t="str">
        <x:v>6100</x:v>
      </x:c>
      <x:c r="F53" s="46" t="str">
        <x:v>Rent</x:v>
      </x:c>
      <x:c r="G53" s="50" t="n">
        <x:v>76000</x:v>
      </x:c>
      <x:c r="H53" s="2"/>
      <x:c r="I53" s="2"/>
      <x:c r="J53" s="2"/>
    </x:row>
    <x:row r="54">
      <x:c r="C54" s="46" t="str">
        <x:v>v1.0</x:v>
      </x:c>
      <x:c r="D54" s="48" t="n">
        <x:v>45809</x:v>
      </x:c>
      <x:c r="E54" s="46" t="str">
        <x:v>6200</x:v>
      </x:c>
      <x:c r="F54" s="46" t="str">
        <x:v>Property Overhead</x:v>
      </x:c>
      <x:c r="G54" s="50" t="n">
        <x:v>27900</x:v>
      </x:c>
      <x:c r="H54" s="2"/>
      <x:c r="I54" s="2"/>
      <x:c r="J54" s="2"/>
    </x:row>
    <x:row r="55">
      <x:c r="C55" s="46" t="str">
        <x:v>v1.0</x:v>
      </x:c>
      <x:c r="D55" s="48" t="n">
        <x:v>45809</x:v>
      </x:c>
      <x:c r="E55" s="46" t="str">
        <x:v>6300</x:v>
      </x:c>
      <x:c r="F55" s="46" t="str">
        <x:v>Marketing</x:v>
      </x:c>
      <x:c r="G55" s="50" t="n">
        <x:v>17000</x:v>
      </x:c>
      <x:c r="H55" s="2"/>
      <x:c r="I55" s="2"/>
      <x:c r="J55" s="2"/>
    </x:row>
    <x:row r="56">
      <x:c r="C56" s="46" t="str">
        <x:v>v1.0</x:v>
      </x:c>
      <x:c r="D56" s="48" t="n">
        <x:v>45839</x:v>
      </x:c>
      <x:c r="E56" s="46" t="str">
        <x:v>4000</x:v>
      </x:c>
      <x:c r="F56" s="46" t="str">
        <x:v>Room Revenue</x:v>
      </x:c>
      <x:c r="G56" s="50" t="n">
        <x:v>444521</x:v>
      </x:c>
      <x:c r="H56" s="2"/>
      <x:c r="I56" s="2"/>
      <x:c r="J56" s="2"/>
    </x:row>
    <x:row r="57">
      <x:c r="C57" s="46" t="str">
        <x:v>v1.0</x:v>
      </x:c>
      <x:c r="D57" s="48" t="n">
        <x:v>45839</x:v>
      </x:c>
      <x:c r="E57" s="46" t="str">
        <x:v>5000</x:v>
      </x:c>
      <x:c r="F57" s="46" t="str">
        <x:v>Housekeeping Payroll</x:v>
      </x:c>
      <x:c r="G57" s="50" t="n">
        <x:v>27595.43</x:v>
      </x:c>
      <x:c r="H57" s="2"/>
      <x:c r="I57" s="2"/>
      <x:c r="J57" s="2"/>
    </x:row>
    <x:row r="58">
      <x:c r="C58" s="46" t="str">
        <x:v>v1.0</x:v>
      </x:c>
      <x:c r="D58" s="48" t="n">
        <x:v>45839</x:v>
      </x:c>
      <x:c r="E58" s="46" t="str">
        <x:v>5100</x:v>
      </x:c>
      <x:c r="F58" s="46" t="str">
        <x:v>Guest Services</x:v>
      </x:c>
      <x:c r="G58" s="50" t="n">
        <x:v>49916.2</x:v>
      </x:c>
      <x:c r="H58" s="2"/>
      <x:c r="I58" s="2"/>
      <x:c r="J58" s="2"/>
    </x:row>
    <x:row r="59">
      <x:c r="C59" s="46" t="str">
        <x:v>v1.0</x:v>
      </x:c>
      <x:c r="D59" s="48" t="n">
        <x:v>45839</x:v>
      </x:c>
      <x:c r="E59" s="46" t="str">
        <x:v>5200</x:v>
      </x:c>
      <x:c r="F59" s="46" t="str">
        <x:v>Distribution and Payment</x:v>
      </x:c>
      <x:c r="G59" s="50" t="n">
        <x:v>17780.84</x:v>
      </x:c>
      <x:c r="H59" s="2"/>
      <x:c r="I59" s="2"/>
      <x:c r="J59" s="2"/>
    </x:row>
    <x:row r="60">
      <x:c r="C60" s="46" t="str">
        <x:v>v1.0</x:v>
      </x:c>
      <x:c r="D60" s="48" t="n">
        <x:v>45839</x:v>
      </x:c>
      <x:c r="E60" s="46" t="str">
        <x:v>6000</x:v>
      </x:c>
      <x:c r="F60" s="46" t="str">
        <x:v>Fixed Staff Payroll</x:v>
      </x:c>
      <x:c r="G60" s="50" t="n">
        <x:v>29886</x:v>
      </x:c>
      <x:c r="H60" s="2"/>
      <x:c r="I60" s="2"/>
      <x:c r="J60" s="2"/>
    </x:row>
    <x:row r="61">
      <x:c r="C61" s="46" t="str">
        <x:v>v1.0</x:v>
      </x:c>
      <x:c r="D61" s="48" t="n">
        <x:v>45839</x:v>
      </x:c>
      <x:c r="E61" s="46" t="str">
        <x:v>6100</x:v>
      </x:c>
      <x:c r="F61" s="46" t="str">
        <x:v>Rent</x:v>
      </x:c>
      <x:c r="G61" s="50" t="n">
        <x:v>76000</x:v>
      </x:c>
      <x:c r="H61" s="2"/>
      <x:c r="I61" s="2"/>
      <x:c r="J61" s="2"/>
    </x:row>
    <x:row r="62">
      <x:c r="C62" s="46" t="str">
        <x:v>v1.0</x:v>
      </x:c>
      <x:c r="D62" s="48" t="n">
        <x:v>45839</x:v>
      </x:c>
      <x:c r="E62" s="46" t="str">
        <x:v>6200</x:v>
      </x:c>
      <x:c r="F62" s="46" t="str">
        <x:v>Property Overhead</x:v>
      </x:c>
      <x:c r="G62" s="50" t="n">
        <x:v>28400</x:v>
      </x:c>
      <x:c r="H62" s="2"/>
      <x:c r="I62" s="2"/>
      <x:c r="J62" s="2"/>
    </x:row>
    <x:row r="63">
      <x:c r="C63" s="46" t="str">
        <x:v>v1.0</x:v>
      </x:c>
      <x:c r="D63" s="48" t="n">
        <x:v>45839</x:v>
      </x:c>
      <x:c r="E63" s="46" t="str">
        <x:v>6300</x:v>
      </x:c>
      <x:c r="F63" s="46" t="str">
        <x:v>Marketing</x:v>
      </x:c>
      <x:c r="G63" s="50" t="n">
        <x:v>19000</x:v>
      </x:c>
      <x:c r="H63" s="2"/>
      <x:c r="I63" s="2"/>
      <x:c r="J63" s="2"/>
    </x:row>
    <x:row r="64">
      <x:c r="C64" s="46" t="str">
        <x:v>v1.0</x:v>
      </x:c>
      <x:c r="D64" s="48" t="n">
        <x:v>45870</x:v>
      </x:c>
      <x:c r="E64" s="46" t="str">
        <x:v>4000</x:v>
      </x:c>
      <x:c r="F64" s="46" t="str">
        <x:v>Room Revenue</x:v>
      </x:c>
      <x:c r="G64" s="50" t="n">
        <x:v>421848</x:v>
      </x:c>
      <x:c r="H64" s="2"/>
      <x:c r="I64" s="2"/>
      <x:c r="J64" s="2"/>
    </x:row>
    <x:row r="65">
      <x:c r="C65" s="46" t="str">
        <x:v>v1.0</x:v>
      </x:c>
      <x:c r="D65" s="48" t="n">
        <x:v>45870</x:v>
      </x:c>
      <x:c r="E65" s="46" t="str">
        <x:v>5000</x:v>
      </x:c>
      <x:c r="F65" s="46" t="str">
        <x:v>Housekeeping Payroll</x:v>
      </x:c>
      <x:c r="G65" s="50" t="n">
        <x:v>27193.2</x:v>
      </x:c>
      <x:c r="H65" s="2"/>
      <x:c r="I65" s="2"/>
      <x:c r="J65" s="2"/>
    </x:row>
    <x:row r="66">
      <x:c r="C66" s="46" t="str">
        <x:v>v1.0</x:v>
      </x:c>
      <x:c r="D66" s="48" t="n">
        <x:v>45870</x:v>
      </x:c>
      <x:c r="E66" s="46" t="str">
        <x:v>5100</x:v>
      </x:c>
      <x:c r="F66" s="46" t="str">
        <x:v>Guest Services</x:v>
      </x:c>
      <x:c r="G66" s="50" t="n">
        <x:v>47864</x:v>
      </x:c>
      <x:c r="H66" s="2"/>
      <x:c r="I66" s="2"/>
      <x:c r="J66" s="2"/>
    </x:row>
    <x:row r="67">
      <x:c r="C67" s="46" t="str">
        <x:v>v1.0</x:v>
      </x:c>
      <x:c r="D67" s="48" t="n">
        <x:v>45870</x:v>
      </x:c>
      <x:c r="E67" s="46" t="str">
        <x:v>5200</x:v>
      </x:c>
      <x:c r="F67" s="46" t="str">
        <x:v>Distribution and Payment</x:v>
      </x:c>
      <x:c r="G67" s="50" t="n">
        <x:v>16873.92</x:v>
      </x:c>
      <x:c r="H67" s="2"/>
      <x:c r="I67" s="2"/>
      <x:c r="J67" s="2"/>
    </x:row>
    <x:row r="68">
      <x:c r="C68" s="46" t="str">
        <x:v>v1.0</x:v>
      </x:c>
      <x:c r="D68" s="48" t="n">
        <x:v>45870</x:v>
      </x:c>
      <x:c r="E68" s="46" t="str">
        <x:v>6000</x:v>
      </x:c>
      <x:c r="F68" s="46" t="str">
        <x:v>Fixed Staff Payroll</x:v>
      </x:c>
      <x:c r="G68" s="50" t="n">
        <x:v>29988</x:v>
      </x:c>
      <x:c r="H68" s="2"/>
      <x:c r="I68" s="2"/>
      <x:c r="J68" s="2"/>
    </x:row>
    <x:row r="69">
      <x:c r="C69" s="46" t="str">
        <x:v>v1.0</x:v>
      </x:c>
      <x:c r="D69" s="48" t="n">
        <x:v>45870</x:v>
      </x:c>
      <x:c r="E69" s="46" t="str">
        <x:v>6100</x:v>
      </x:c>
      <x:c r="F69" s="46" t="str">
        <x:v>Rent</x:v>
      </x:c>
      <x:c r="G69" s="50" t="n">
        <x:v>76000</x:v>
      </x:c>
      <x:c r="H69" s="2"/>
      <x:c r="I69" s="2"/>
      <x:c r="J69" s="2"/>
    </x:row>
    <x:row r="70">
      <x:c r="C70" s="46" t="str">
        <x:v>v1.0</x:v>
      </x:c>
      <x:c r="D70" s="48" t="n">
        <x:v>45870</x:v>
      </x:c>
      <x:c r="E70" s="46" t="str">
        <x:v>6200</x:v>
      </x:c>
      <x:c r="F70" s="46" t="str">
        <x:v>Property Overhead</x:v>
      </x:c>
      <x:c r="G70" s="50" t="n">
        <x:v>28300</x:v>
      </x:c>
      <x:c r="H70" s="2"/>
      <x:c r="I70" s="2"/>
      <x:c r="J70" s="2"/>
    </x:row>
    <x:row r="71">
      <x:c r="C71" s="46" t="str">
        <x:v>v1.0</x:v>
      </x:c>
      <x:c r="D71" s="48" t="n">
        <x:v>45870</x:v>
      </x:c>
      <x:c r="E71" s="46" t="str">
        <x:v>6300</x:v>
      </x:c>
      <x:c r="F71" s="46" t="str">
        <x:v>Marketing</x:v>
      </x:c>
      <x:c r="G71" s="50" t="n">
        <x:v>16000</x:v>
      </x:c>
      <x:c r="H71" s="2"/>
      <x:c r="I71" s="2"/>
      <x:c r="J71" s="2"/>
    </x:row>
    <x:row r="72">
      <x:c r="C72" s="46" t="str">
        <x:v>v1.0</x:v>
      </x:c>
      <x:c r="D72" s="48" t="n">
        <x:v>45901</x:v>
      </x:c>
      <x:c r="E72" s="46" t="str">
        <x:v>4000</x:v>
      </x:c>
      <x:c r="F72" s="46" t="str">
        <x:v>Room Revenue</x:v>
      </x:c>
      <x:c r="G72" s="50" t="n">
        <x:v>340746</x:v>
      </x:c>
      <x:c r="H72" s="2"/>
      <x:c r="I72" s="2"/>
      <x:c r="J72" s="2"/>
    </x:row>
    <x:row r="73">
      <x:c r="C73" s="46" t="str">
        <x:v>v1.0</x:v>
      </x:c>
      <x:c r="D73" s="48" t="n">
        <x:v>45901</x:v>
      </x:c>
      <x:c r="E73" s="46" t="str">
        <x:v>5000</x:v>
      </x:c>
      <x:c r="F73" s="46" t="str">
        <x:v>Housekeeping Payroll</x:v>
      </x:c>
      <x:c r="G73" s="50" t="n">
        <x:v>24437.7</x:v>
      </x:c>
      <x:c r="H73" s="2"/>
      <x:c r="I73" s="2"/>
      <x:c r="J73" s="2"/>
    </x:row>
    <x:row r="74">
      <x:c r="C74" s="46" t="str">
        <x:v>v1.0</x:v>
      </x:c>
      <x:c r="D74" s="48" t="n">
        <x:v>45901</x:v>
      </x:c>
      <x:c r="E74" s="46" t="str">
        <x:v>5100</x:v>
      </x:c>
      <x:c r="F74" s="46" t="str">
        <x:v>Guest Services</x:v>
      </x:c>
      <x:c r="G74" s="50" t="n">
        <x:v>39900</x:v>
      </x:c>
      <x:c r="H74" s="2"/>
      <x:c r="I74" s="2"/>
      <x:c r="J74" s="2"/>
    </x:row>
    <x:row r="75">
      <x:c r="C75" s="46" t="str">
        <x:v>v1.0</x:v>
      </x:c>
      <x:c r="D75" s="48" t="n">
        <x:v>45901</x:v>
      </x:c>
      <x:c r="E75" s="46" t="str">
        <x:v>5200</x:v>
      </x:c>
      <x:c r="F75" s="46" t="str">
        <x:v>Distribution and Payment</x:v>
      </x:c>
      <x:c r="G75" s="50" t="n">
        <x:v>13629.84</x:v>
      </x:c>
      <x:c r="H75" s="2"/>
      <x:c r="I75" s="2"/>
      <x:c r="J75" s="2"/>
    </x:row>
    <x:row r="76">
      <x:c r="C76" s="46" t="str">
        <x:v>v1.0</x:v>
      </x:c>
      <x:c r="D76" s="48" t="n">
        <x:v>45901</x:v>
      </x:c>
      <x:c r="E76" s="46" t="str">
        <x:v>6000</x:v>
      </x:c>
      <x:c r="F76" s="46" t="str">
        <x:v>Fixed Staff Payroll</x:v>
      </x:c>
      <x:c r="G76" s="50" t="n">
        <x:v>29500</x:v>
      </x:c>
      <x:c r="H76" s="2"/>
      <x:c r="I76" s="2"/>
      <x:c r="J76" s="2"/>
    </x:row>
    <x:row r="77">
      <x:c r="C77" s="46" t="str">
        <x:v>v1.0</x:v>
      </x:c>
      <x:c r="D77" s="48" t="n">
        <x:v>45901</x:v>
      </x:c>
      <x:c r="E77" s="46" t="str">
        <x:v>6100</x:v>
      </x:c>
      <x:c r="F77" s="46" t="str">
        <x:v>Rent</x:v>
      </x:c>
      <x:c r="G77" s="50" t="n">
        <x:v>76000</x:v>
      </x:c>
      <x:c r="H77" s="2"/>
      <x:c r="I77" s="2"/>
      <x:c r="J77" s="2"/>
    </x:row>
    <x:row r="78">
      <x:c r="C78" s="46" t="str">
        <x:v>v1.0</x:v>
      </x:c>
      <x:c r="D78" s="48" t="n">
        <x:v>45901</x:v>
      </x:c>
      <x:c r="E78" s="46" t="str">
        <x:v>6200</x:v>
      </x:c>
      <x:c r="F78" s="46" t="str">
        <x:v>Property Overhead</x:v>
      </x:c>
      <x:c r="G78" s="50" t="n">
        <x:v>27800</x:v>
      </x:c>
      <x:c r="H78" s="2"/>
      <x:c r="I78" s="2"/>
      <x:c r="J78" s="2"/>
    </x:row>
    <x:row r="79">
      <x:c r="C79" s="46" t="str">
        <x:v>v1.0</x:v>
      </x:c>
      <x:c r="D79" s="48" t="n">
        <x:v>45901</x:v>
      </x:c>
      <x:c r="E79" s="46" t="str">
        <x:v>6300</x:v>
      </x:c>
      <x:c r="F79" s="46" t="str">
        <x:v>Marketing</x:v>
      </x:c>
      <x:c r="G79" s="50" t="n">
        <x:v>11000</x:v>
      </x:c>
      <x:c r="H79" s="2"/>
      <x:c r="I79" s="2"/>
      <x:c r="J79" s="2"/>
    </x:row>
    <x:row r="80">
      <x:c r="C80" s="46" t="str">
        <x:v>v1.0</x:v>
      </x:c>
      <x:c r="D80" s="48" t="n">
        <x:v>45931</x:v>
      </x:c>
      <x:c r="E80" s="46" t="str">
        <x:v>4000</x:v>
      </x:c>
      <x:c r="F80" s="46" t="str">
        <x:v>Room Revenue</x:v>
      </x:c>
      <x:c r="G80" s="50" t="n">
        <x:v>334731.5</x:v>
      </x:c>
      <x:c r="H80" s="2"/>
      <x:c r="I80" s="2"/>
      <x:c r="J80" s="2"/>
    </x:row>
    <x:row r="81">
      <x:c r="C81" s="46" t="str">
        <x:v>v1.0</x:v>
      </x:c>
      <x:c r="D81" s="48" t="n">
        <x:v>45931</x:v>
      </x:c>
      <x:c r="E81" s="46" t="str">
        <x:v>5000</x:v>
      </x:c>
      <x:c r="F81" s="46" t="str">
        <x:v>Housekeeping Payroll</x:v>
      </x:c>
      <x:c r="G81" s="50" t="n">
        <x:v>24701.54</x:v>
      </x:c>
      <x:c r="H81" s="2"/>
      <x:c r="I81" s="2"/>
      <x:c r="J81" s="2"/>
    </x:row>
    <x:row r="82">
      <x:c r="C82" s="46" t="str">
        <x:v>v1.0</x:v>
      </x:c>
      <x:c r="D82" s="48" t="n">
        <x:v>45931</x:v>
      </x:c>
      <x:c r="E82" s="46" t="str">
        <x:v>5100</x:v>
      </x:c>
      <x:c r="F82" s="46" t="str">
        <x:v>Guest Services</x:v>
      </x:c>
      <x:c r="G82" s="50" t="n">
        <x:v>39630.4</x:v>
      </x:c>
      <x:c r="H82" s="2"/>
      <x:c r="I82" s="2"/>
      <x:c r="J82" s="2"/>
    </x:row>
    <x:row r="83">
      <x:c r="C83" s="46" t="str">
        <x:v>v1.0</x:v>
      </x:c>
      <x:c r="D83" s="48" t="n">
        <x:v>45931</x:v>
      </x:c>
      <x:c r="E83" s="46" t="str">
        <x:v>5200</x:v>
      </x:c>
      <x:c r="F83" s="46" t="str">
        <x:v>Distribution and Payment</x:v>
      </x:c>
      <x:c r="G83" s="50" t="n">
        <x:v>13389.26</x:v>
      </x:c>
      <x:c r="H83" s="2"/>
      <x:c r="I83" s="2"/>
      <x:c r="J83" s="2"/>
    </x:row>
    <x:row r="84">
      <x:c r="C84" s="46" t="str">
        <x:v>v1.0</x:v>
      </x:c>
      <x:c r="D84" s="48" t="n">
        <x:v>45931</x:v>
      </x:c>
      <x:c r="E84" s="46" t="str">
        <x:v>6000</x:v>
      </x:c>
      <x:c r="F84" s="46" t="str">
        <x:v>Fixed Staff Payroll</x:v>
      </x:c>
      <x:c r="G84" s="50" t="n">
        <x:v>29600</x:v>
      </x:c>
      <x:c r="H84" s="2"/>
      <x:c r="I84" s="2"/>
      <x:c r="J84" s="2"/>
    </x:row>
    <x:row r="85">
      <x:c r="C85" s="46" t="str">
        <x:v>v1.0</x:v>
      </x:c>
      <x:c r="D85" s="48" t="n">
        <x:v>45931</x:v>
      </x:c>
      <x:c r="E85" s="46" t="str">
        <x:v>6100</x:v>
      </x:c>
      <x:c r="F85" s="46" t="str">
        <x:v>Rent</x:v>
      </x:c>
      <x:c r="G85" s="50" t="n">
        <x:v>76000</x:v>
      </x:c>
      <x:c r="H85" s="2"/>
      <x:c r="I85" s="2"/>
      <x:c r="J85" s="2"/>
    </x:row>
    <x:row r="86">
      <x:c r="C86" s="46" t="str">
        <x:v>v1.0</x:v>
      </x:c>
      <x:c r="D86" s="48" t="n">
        <x:v>45931</x:v>
      </x:c>
      <x:c r="E86" s="46" t="str">
        <x:v>6200</x:v>
      </x:c>
      <x:c r="F86" s="46" t="str">
        <x:v>Property Overhead</x:v>
      </x:c>
      <x:c r="G86" s="50" t="n">
        <x:v>27500</x:v>
      </x:c>
      <x:c r="H86" s="2"/>
      <x:c r="I86" s="2"/>
      <x:c r="J86" s="2"/>
    </x:row>
    <x:row r="87">
      <x:c r="C87" s="46" t="str">
        <x:v>v1.0</x:v>
      </x:c>
      <x:c r="D87" s="48" t="n">
        <x:v>45931</x:v>
      </x:c>
      <x:c r="E87" s="46" t="str">
        <x:v>6300</x:v>
      </x:c>
      <x:c r="F87" s="46" t="str">
        <x:v>Marketing</x:v>
      </x:c>
      <x:c r="G87" s="50" t="n">
        <x:v>12500</x:v>
      </x:c>
      <x:c r="H87" s="2"/>
      <x:c r="I87" s="2"/>
      <x:c r="J87" s="2"/>
    </x:row>
    <x:row r="88">
      <x:c r="C88" s="46" t="str">
        <x:v>v1.0</x:v>
      </x:c>
      <x:c r="D88" s="48" t="n">
        <x:v>45962</x:v>
      </x:c>
      <x:c r="E88" s="46" t="str">
        <x:v>4000</x:v>
      </x:c>
      <x:c r="F88" s="46" t="str">
        <x:v>Room Revenue</x:v>
      </x:c>
      <x:c r="G88" s="50" t="n">
        <x:v>259487.5</x:v>
      </x:c>
      <x:c r="H88" s="2"/>
      <x:c r="I88" s="2"/>
      <x:c r="J88" s="2"/>
    </x:row>
    <x:row r="89">
      <x:c r="C89" s="46" t="str">
        <x:v>v1.0</x:v>
      </x:c>
      <x:c r="D89" s="48" t="n">
        <x:v>45962</x:v>
      </x:c>
      <x:c r="E89" s="46" t="str">
        <x:v>5000</x:v>
      </x:c>
      <x:c r="F89" s="46" t="str">
        <x:v>Housekeeping Payroll</x:v>
      </x:c>
      <x:c r="G89" s="50" t="n">
        <x:v>20814.75</x:v>
      </x:c>
      <x:c r="H89" s="2"/>
      <x:c r="I89" s="2"/>
      <x:c r="J89" s="2"/>
    </x:row>
    <x:row r="90">
      <x:c r="C90" s="46" t="str">
        <x:v>v1.0</x:v>
      </x:c>
      <x:c r="D90" s="48" t="n">
        <x:v>45962</x:v>
      </x:c>
      <x:c r="E90" s="46" t="str">
        <x:v>5100</x:v>
      </x:c>
      <x:c r="F90" s="46" t="str">
        <x:v>Guest Services</x:v>
      </x:c>
      <x:c r="G90" s="50" t="n">
        <x:v>32190</x:v>
      </x:c>
      <x:c r="H90" s="2"/>
      <x:c r="I90" s="2"/>
      <x:c r="J90" s="2"/>
    </x:row>
    <x:row r="91">
      <x:c r="C91" s="46" t="str">
        <x:v>v1.0</x:v>
      </x:c>
      <x:c r="D91" s="48" t="n">
        <x:v>45962</x:v>
      </x:c>
      <x:c r="E91" s="46" t="str">
        <x:v>5200</x:v>
      </x:c>
      <x:c r="F91" s="46" t="str">
        <x:v>Distribution and Payment</x:v>
      </x:c>
      <x:c r="G91" s="50" t="n">
        <x:v>10379.5</x:v>
      </x:c>
      <x:c r="H91" s="2"/>
      <x:c r="I91" s="2"/>
      <x:c r="J91" s="2"/>
    </x:row>
    <x:row r="92">
      <x:c r="C92" s="46" t="str">
        <x:v>v1.0</x:v>
      </x:c>
      <x:c r="D92" s="48" t="n">
        <x:v>45962</x:v>
      </x:c>
      <x:c r="E92" s="46" t="str">
        <x:v>6000</x:v>
      </x:c>
      <x:c r="F92" s="46" t="str">
        <x:v>Fixed Staff Payroll</x:v>
      </x:c>
      <x:c r="G92" s="50" t="n">
        <x:v>29700</x:v>
      </x:c>
      <x:c r="H92" s="2"/>
      <x:c r="I92" s="2"/>
      <x:c r="J92" s="2"/>
    </x:row>
    <x:row r="93">
      <x:c r="C93" s="46" t="str">
        <x:v>v1.0</x:v>
      </x:c>
      <x:c r="D93" s="48" t="n">
        <x:v>45962</x:v>
      </x:c>
      <x:c r="E93" s="46" t="str">
        <x:v>6100</x:v>
      </x:c>
      <x:c r="F93" s="46" t="str">
        <x:v>Rent</x:v>
      </x:c>
      <x:c r="G93" s="50" t="n">
        <x:v>76000</x:v>
      </x:c>
      <x:c r="H93" s="2"/>
      <x:c r="I93" s="2"/>
      <x:c r="J93" s="2"/>
    </x:row>
    <x:row r="94">
      <x:c r="C94" s="46" t="str">
        <x:v>v1.0</x:v>
      </x:c>
      <x:c r="D94" s="48" t="n">
        <x:v>45962</x:v>
      </x:c>
      <x:c r="E94" s="46" t="str">
        <x:v>6200</x:v>
      </x:c>
      <x:c r="F94" s="46" t="str">
        <x:v>Property Overhead</x:v>
      </x:c>
      <x:c r="G94" s="50" t="n">
        <x:v>27100</x:v>
      </x:c>
      <x:c r="H94" s="2"/>
      <x:c r="I94" s="2"/>
      <x:c r="J94" s="2"/>
    </x:row>
    <x:row r="95">
      <x:c r="C95" s="46" t="str">
        <x:v>v1.0</x:v>
      </x:c>
      <x:c r="D95" s="48" t="n">
        <x:v>45962</x:v>
      </x:c>
      <x:c r="E95" s="46" t="str">
        <x:v>6300</x:v>
      </x:c>
      <x:c r="F95" s="46" t="str">
        <x:v>Marketing</x:v>
      </x:c>
      <x:c r="G95" s="50" t="n">
        <x:v>10500</x:v>
      </x:c>
      <x:c r="H95" s="2"/>
      <x:c r="I95" s="2"/>
      <x:c r="J95" s="2"/>
    </x:row>
    <x:row r="96">
      <x:c r="C96" s="46" t="str">
        <x:v>v1.0</x:v>
      </x:c>
      <x:c r="D96" s="48" t="n">
        <x:v>45992</x:v>
      </x:c>
      <x:c r="E96" s="46" t="str">
        <x:v>4000</x:v>
      </x:c>
      <x:c r="F96" s="46" t="str">
        <x:v>Room Revenue</x:v>
      </x:c>
      <x:c r="G96" s="50" t="n">
        <x:v>258145</x:v>
      </x:c>
      <x:c r="H96" s="2"/>
      <x:c r="I96" s="2"/>
      <x:c r="J96" s="2"/>
    </x:row>
    <x:row r="97">
      <x:c r="C97" s="46" t="str">
        <x:v>v1.0</x:v>
      </x:c>
      <x:c r="D97" s="48" t="n">
        <x:v>45992</x:v>
      </x:c>
      <x:c r="E97" s="46" t="str">
        <x:v>5000</x:v>
      </x:c>
      <x:c r="F97" s="46" t="str">
        <x:v>Housekeeping Payroll</x:v>
      </x:c>
      <x:c r="G97" s="50" t="n">
        <x:v>21186.33</x:v>
      </x:c>
      <x:c r="H97" s="2"/>
      <x:c r="I97" s="2"/>
      <x:c r="J97" s="2"/>
    </x:row>
    <x:row r="98">
      <x:c r="C98" s="46" t="str">
        <x:v>v1.0</x:v>
      </x:c>
      <x:c r="D98" s="48" t="n">
        <x:v>45992</x:v>
      </x:c>
      <x:c r="E98" s="46" t="str">
        <x:v>5100</x:v>
      </x:c>
      <x:c r="F98" s="46" t="str">
        <x:v>Guest Services</x:v>
      </x:c>
      <x:c r="G98" s="50" t="n">
        <x:v>31883.5</x:v>
      </x:c>
      <x:c r="H98" s="2"/>
      <x:c r="I98" s="2"/>
      <x:c r="J98" s="2"/>
    </x:row>
    <x:row r="99">
      <x:c r="C99" s="46" t="str">
        <x:v>v1.0</x:v>
      </x:c>
      <x:c r="D99" s="48" t="n">
        <x:v>45992</x:v>
      </x:c>
      <x:c r="E99" s="46" t="str">
        <x:v>5200</x:v>
      </x:c>
      <x:c r="F99" s="46" t="str">
        <x:v>Distribution and Payment</x:v>
      </x:c>
      <x:c r="G99" s="50" t="n">
        <x:v>10325.8</x:v>
      </x:c>
      <x:c r="H99" s="2"/>
      <x:c r="I99" s="2"/>
      <x:c r="J99" s="2"/>
    </x:row>
    <x:row r="100">
      <x:c r="C100" s="46" t="str">
        <x:v>v1.0</x:v>
      </x:c>
      <x:c r="D100" s="48" t="n">
        <x:v>45992</x:v>
      </x:c>
      <x:c r="E100" s="46" t="str">
        <x:v>6000</x:v>
      </x:c>
      <x:c r="F100" s="46" t="str">
        <x:v>Fixed Staff Payroll</x:v>
      </x:c>
      <x:c r="G100" s="50" t="n">
        <x:v>29800</x:v>
      </x:c>
      <x:c r="H100" s="2"/>
      <x:c r="I100" s="2"/>
      <x:c r="J100" s="2"/>
    </x:row>
    <x:row r="101">
      <x:c r="C101" s="46" t="str">
        <x:v>v1.0</x:v>
      </x:c>
      <x:c r="D101" s="48" t="n">
        <x:v>45992</x:v>
      </x:c>
      <x:c r="E101" s="46" t="str">
        <x:v>6100</x:v>
      </x:c>
      <x:c r="F101" s="46" t="str">
        <x:v>Rent</x:v>
      </x:c>
      <x:c r="G101" s="50" t="n">
        <x:v>76000</x:v>
      </x:c>
      <x:c r="H101" s="2"/>
      <x:c r="I101" s="2"/>
      <x:c r="J101" s="2"/>
    </x:row>
    <x:row r="102">
      <x:c r="C102" s="46" t="str">
        <x:v>v1.0</x:v>
      </x:c>
      <x:c r="D102" s="48" t="n">
        <x:v>45992</x:v>
      </x:c>
      <x:c r="E102" s="46" t="str">
        <x:v>6200</x:v>
      </x:c>
      <x:c r="F102" s="46" t="str">
        <x:v>Property Overhead</x:v>
      </x:c>
      <x:c r="G102" s="50" t="n">
        <x:v>27300</x:v>
      </x:c>
      <x:c r="H102" s="2"/>
      <x:c r="I102" s="2"/>
      <x:c r="J102" s="2"/>
    </x:row>
    <x:row r="103">
      <x:c r="C103" s="46" t="str">
        <x:v>v1.0</x:v>
      </x:c>
      <x:c r="D103" s="48" t="n">
        <x:v>45992</x:v>
      </x:c>
      <x:c r="E103" s="46" t="str">
        <x:v>6300</x:v>
      </x:c>
      <x:c r="F103" s="46" t="str">
        <x:v>Marketing</x:v>
      </x:c>
      <x:c r="G103" s="50" t="n">
        <x:v>15000</x:v>
      </x:c>
      <x:c r="H103" s="2"/>
      <x:c r="I103" s="2"/>
      <x:c r="J103" s="2"/>
    </x:row>
    <x:row r="104">
      <x:c r="C104" s="46" t="str">
        <x:v>v1.0</x:v>
      </x:c>
      <x:c r="D104" s="48" t="n">
        <x:v>46023</x:v>
      </x:c>
      <x:c r="E104" s="46" t="str">
        <x:v>4000</x:v>
      </x:c>
      <x:c r="F104" s="46" t="str">
        <x:v>Room Revenue</x:v>
      </x:c>
      <x:c r="G104" s="50" t="n">
        <x:v>240849</x:v>
      </x:c>
      <x:c r="H104" s="2"/>
      <x:c r="I104" s="2"/>
      <x:c r="J104" s="2"/>
    </x:row>
    <x:row r="105">
      <x:c r="C105" s="46" t="str">
        <x:v>v1.0</x:v>
      </x:c>
      <x:c r="D105" s="48" t="n">
        <x:v>46023</x:v>
      </x:c>
      <x:c r="E105" s="46" t="str">
        <x:v>5000</x:v>
      </x:c>
      <x:c r="F105" s="46" t="str">
        <x:v>Housekeeping Payroll</x:v>
      </x:c>
      <x:c r="G105" s="50" t="n">
        <x:v>20696.81</x:v>
      </x:c>
      <x:c r="H105" s="2"/>
      <x:c r="I105" s="2"/>
      <x:c r="J105" s="2"/>
    </x:row>
    <x:row r="106">
      <x:c r="C106" s="46" t="str">
        <x:v>v1.0</x:v>
      </x:c>
      <x:c r="D106" s="48" t="n">
        <x:v>46023</x:v>
      </x:c>
      <x:c r="E106" s="46" t="str">
        <x:v>5100</x:v>
      </x:c>
      <x:c r="F106" s="46" t="str">
        <x:v>Guest Services</x:v>
      </x:c>
      <x:c r="G106" s="50" t="n">
        <x:v>30838.8</x:v>
      </x:c>
      <x:c r="H106" s="2"/>
      <x:c r="I106" s="2"/>
      <x:c r="J106" s="2"/>
    </x:row>
    <x:row r="107">
      <x:c r="C107" s="46" t="str">
        <x:v>v1.0</x:v>
      </x:c>
      <x:c r="D107" s="48" t="n">
        <x:v>46023</x:v>
      </x:c>
      <x:c r="E107" s="46" t="str">
        <x:v>5200</x:v>
      </x:c>
      <x:c r="F107" s="46" t="str">
        <x:v>Distribution and Payment</x:v>
      </x:c>
      <x:c r="G107" s="50" t="n">
        <x:v>9633.96</x:v>
      </x:c>
      <x:c r="H107" s="2"/>
      <x:c r="I107" s="2"/>
      <x:c r="J107" s="2"/>
    </x:row>
    <x:row r="108">
      <x:c r="C108" s="46" t="str">
        <x:v>v1.0</x:v>
      </x:c>
      <x:c r="D108" s="48" t="n">
        <x:v>46023</x:v>
      </x:c>
      <x:c r="E108" s="46" t="str">
        <x:v>6000</x:v>
      </x:c>
      <x:c r="F108" s="46" t="str">
        <x:v>Fixed Staff Payroll</x:v>
      </x:c>
      <x:c r="G108" s="50" t="n">
        <x:v>29900</x:v>
      </x:c>
      <x:c r="H108" s="2"/>
      <x:c r="I108" s="2"/>
      <x:c r="J108" s="2"/>
    </x:row>
    <x:row r="109">
      <x:c r="C109" s="46" t="str">
        <x:v>v1.0</x:v>
      </x:c>
      <x:c r="D109" s="48" t="n">
        <x:v>46023</x:v>
      </x:c>
      <x:c r="E109" s="46" t="str">
        <x:v>6100</x:v>
      </x:c>
      <x:c r="F109" s="46" t="str">
        <x:v>Rent</x:v>
      </x:c>
      <x:c r="G109" s="50" t="n">
        <x:v>78000</x:v>
      </x:c>
      <x:c r="H109" s="2"/>
      <x:c r="I109" s="2"/>
      <x:c r="J109" s="2"/>
    </x:row>
    <x:row r="110">
      <x:c r="C110" s="46" t="str">
        <x:v>v1.0</x:v>
      </x:c>
      <x:c r="D110" s="48" t="n">
        <x:v>46023</x:v>
      </x:c>
      <x:c r="E110" s="46" t="str">
        <x:v>6200</x:v>
      </x:c>
      <x:c r="F110" s="46" t="str">
        <x:v>Property Overhead</x:v>
      </x:c>
      <x:c r="G110" s="50" t="n">
        <x:v>28050</x:v>
      </x:c>
      <x:c r="H110" s="2"/>
      <x:c r="I110" s="2"/>
      <x:c r="J110" s="2"/>
    </x:row>
    <x:row r="111">
      <x:c r="C111" s="46" t="str">
        <x:v>v1.0</x:v>
      </x:c>
      <x:c r="D111" s="48" t="n">
        <x:v>46023</x:v>
      </x:c>
      <x:c r="E111" s="46" t="str">
        <x:v>6300</x:v>
      </x:c>
      <x:c r="F111" s="46" t="str">
        <x:v>Marketing</x:v>
      </x:c>
      <x:c r="G111" s="50" t="n">
        <x:v>10200</x:v>
      </x:c>
      <x:c r="H111" s="2"/>
      <x:c r="I111" s="2"/>
      <x:c r="J111" s="2"/>
    </x:row>
    <x:row r="112">
      <x:c r="C112" s="46" t="str">
        <x:v>v1.0</x:v>
      </x:c>
      <x:c r="D112" s="48" t="n">
        <x:v>46054</x:v>
      </x:c>
      <x:c r="E112" s="46" t="str">
        <x:v>4000</x:v>
      </x:c>
      <x:c r="F112" s="46" t="str">
        <x:v>Room Revenue</x:v>
      </x:c>
      <x:c r="G112" s="50" t="n">
        <x:v>234832</x:v>
      </x:c>
      <x:c r="H112" s="2"/>
      <x:c r="I112" s="2"/>
      <x:c r="J112" s="2"/>
    </x:row>
    <x:row r="113">
      <x:c r="C113" s="46" t="str">
        <x:v>v1.0</x:v>
      </x:c>
      <x:c r="D113" s="48" t="n">
        <x:v>46054</x:v>
      </x:c>
      <x:c r="E113" s="46" t="str">
        <x:v>5000</x:v>
      </x:c>
      <x:c r="F113" s="46" t="str">
        <x:v>Housekeeping Payroll</x:v>
      </x:c>
      <x:c r="G113" s="50" t="n">
        <x:v>19408.4</x:v>
      </x:c>
      <x:c r="H113" s="2"/>
      <x:c r="I113" s="2"/>
      <x:c r="J113" s="2"/>
    </x:row>
    <x:row r="114">
      <x:c r="C114" s="46" t="str">
        <x:v>v1.0</x:v>
      </x:c>
      <x:c r="D114" s="48" t="n">
        <x:v>46054</x:v>
      </x:c>
      <x:c r="E114" s="46" t="str">
        <x:v>5100</x:v>
      </x:c>
      <x:c r="F114" s="46" t="str">
        <x:v>Guest Services</x:v>
      </x:c>
      <x:c r="G114" s="50" t="n">
        <x:v>29674</x:v>
      </x:c>
      <x:c r="H114" s="2"/>
      <x:c r="I114" s="2"/>
      <x:c r="J114" s="2"/>
    </x:row>
    <x:row r="115">
      <x:c r="C115" s="46" t="str">
        <x:v>v1.0</x:v>
      </x:c>
      <x:c r="D115" s="48" t="n">
        <x:v>46054</x:v>
      </x:c>
      <x:c r="E115" s="46" t="str">
        <x:v>5200</x:v>
      </x:c>
      <x:c r="F115" s="46" t="str">
        <x:v>Distribution and Payment</x:v>
      </x:c>
      <x:c r="G115" s="50" t="n">
        <x:v>9393.28</x:v>
      </x:c>
      <x:c r="H115" s="2"/>
      <x:c r="I115" s="2"/>
      <x:c r="J115" s="2"/>
    </x:row>
    <x:row r="116">
      <x:c r="C116" s="46" t="str">
        <x:v>v1.0</x:v>
      </x:c>
      <x:c r="D116" s="48" t="n">
        <x:v>46054</x:v>
      </x:c>
      <x:c r="E116" s="46" t="str">
        <x:v>6000</x:v>
      </x:c>
      <x:c r="F116" s="46" t="str">
        <x:v>Fixed Staff Payroll</x:v>
      </x:c>
      <x:c r="G116" s="50" t="n">
        <x:v>30025</x:v>
      </x:c>
      <x:c r="H116" s="2"/>
      <x:c r="I116" s="2"/>
      <x:c r="J116" s="2"/>
    </x:row>
    <x:row r="117">
      <x:c r="C117" s="46" t="str">
        <x:v>v1.0</x:v>
      </x:c>
      <x:c r="D117" s="48" t="n">
        <x:v>46054</x:v>
      </x:c>
      <x:c r="E117" s="46" t="str">
        <x:v>6100</x:v>
      </x:c>
      <x:c r="F117" s="46" t="str">
        <x:v>Rent</x:v>
      </x:c>
      <x:c r="G117" s="50" t="n">
        <x:v>78000</x:v>
      </x:c>
      <x:c r="H117" s="2"/>
      <x:c r="I117" s="2"/>
      <x:c r="J117" s="2"/>
    </x:row>
    <x:row r="118">
      <x:c r="C118" s="46" t="str">
        <x:v>v1.0</x:v>
      </x:c>
      <x:c r="D118" s="48" t="n">
        <x:v>46054</x:v>
      </x:c>
      <x:c r="E118" s="46" t="str">
        <x:v>6200</x:v>
      </x:c>
      <x:c r="F118" s="46" t="str">
        <x:v>Property Overhead</x:v>
      </x:c>
      <x:c r="G118" s="50" t="n">
        <x:v>27920</x:v>
      </x:c>
      <x:c r="H118" s="2"/>
      <x:c r="I118" s="2"/>
      <x:c r="J118" s="2"/>
    </x:row>
    <x:row r="119">
      <x:c r="C119" s="46" t="str">
        <x:v>v1.0</x:v>
      </x:c>
      <x:c r="D119" s="48" t="n">
        <x:v>46054</x:v>
      </x:c>
      <x:c r="E119" s="46" t="str">
        <x:v>6300</x:v>
      </x:c>
      <x:c r="F119" s="46" t="str">
        <x:v>Marketing</x:v>
      </x:c>
      <x:c r="G119" s="50" t="n">
        <x:v>8800</x:v>
      </x:c>
      <x:c r="H119" s="2"/>
      <x:c r="I119" s="2"/>
      <x:c r="J119" s="2"/>
    </x:row>
    <x:row r="120">
      <x:c r="C120" s="46" t="str">
        <x:v>v1.0</x:v>
      </x:c>
      <x:c r="D120" s="48" t="n">
        <x:v>46082</x:v>
      </x:c>
      <x:c r="E120" s="46" t="str">
        <x:v>4000</x:v>
      </x:c>
      <x:c r="F120" s="46" t="str">
        <x:v>Room Revenue</x:v>
      </x:c>
      <x:c r="G120" s="50" t="n">
        <x:v>289307</x:v>
      </x:c>
      <x:c r="H120" s="2"/>
      <x:c r="I120" s="2"/>
      <x:c r="J120" s="2"/>
    </x:row>
    <x:row r="121">
      <x:c r="C121" s="46" t="str">
        <x:v>v1.0</x:v>
      </x:c>
      <x:c r="D121" s="48" t="n">
        <x:v>46082</x:v>
      </x:c>
      <x:c r="E121" s="46" t="str">
        <x:v>5000</x:v>
      </x:c>
      <x:c r="F121" s="46" t="str">
        <x:v>Housekeeping Payroll</x:v>
      </x:c>
      <x:c r="G121" s="50" t="n">
        <x:v>23786.67</x:v>
      </x:c>
      <x:c r="H121" s="2"/>
      <x:c r="I121" s="2"/>
      <x:c r="J121" s="2"/>
    </x:row>
    <x:row r="122">
      <x:c r="C122" s="46" t="str">
        <x:v>v1.0</x:v>
      </x:c>
      <x:c r="D122" s="48" t="n">
        <x:v>46082</x:v>
      </x:c>
      <x:c r="E122" s="46" t="str">
        <x:v>5100</x:v>
      </x:c>
      <x:c r="F122" s="46" t="str">
        <x:v>Guest Services</x:v>
      </x:c>
      <x:c r="G122" s="50" t="n">
        <x:v>36710.2</x:v>
      </x:c>
      <x:c r="H122" s="2"/>
      <x:c r="I122" s="2"/>
      <x:c r="J122" s="2"/>
    </x:row>
    <x:row r="123">
      <x:c r="C123" s="46" t="str">
        <x:v>v1.0</x:v>
      </x:c>
      <x:c r="D123" s="48" t="n">
        <x:v>46082</x:v>
      </x:c>
      <x:c r="E123" s="46" t="str">
        <x:v>5200</x:v>
      </x:c>
      <x:c r="F123" s="46" t="str">
        <x:v>Distribution and Payment</x:v>
      </x:c>
      <x:c r="G123" s="50" t="n">
        <x:v>11572.28</x:v>
      </x:c>
      <x:c r="H123" s="2"/>
      <x:c r="I123" s="2"/>
      <x:c r="J123" s="2"/>
    </x:row>
    <x:row r="124">
      <x:c r="C124" s="46" t="str">
        <x:v>v1.0</x:v>
      </x:c>
      <x:c r="D124" s="48" t="n">
        <x:v>46082</x:v>
      </x:c>
      <x:c r="E124" s="46" t="str">
        <x:v>6000</x:v>
      </x:c>
      <x:c r="F124" s="46" t="str">
        <x:v>Fixed Staff Payroll</x:v>
      </x:c>
      <x:c r="G124" s="50" t="n">
        <x:v>30075</x:v>
      </x:c>
      <x:c r="H124" s="2"/>
      <x:c r="I124" s="2"/>
      <x:c r="J124" s="2"/>
    </x:row>
    <x:row r="125">
      <x:c r="C125" s="46" t="str">
        <x:v>v1.0</x:v>
      </x:c>
      <x:c r="D125" s="48" t="n">
        <x:v>46082</x:v>
      </x:c>
      <x:c r="E125" s="46" t="str">
        <x:v>6100</x:v>
      </x:c>
      <x:c r="F125" s="46" t="str">
        <x:v>Rent</x:v>
      </x:c>
      <x:c r="G125" s="50" t="n">
        <x:v>78000</x:v>
      </x:c>
      <x:c r="H125" s="2"/>
      <x:c r="I125" s="2"/>
      <x:c r="J125" s="2"/>
    </x:row>
    <x:row r="126">
      <x:c r="C126" s="46" t="str">
        <x:v>v1.0</x:v>
      </x:c>
      <x:c r="D126" s="48" t="n">
        <x:v>46082</x:v>
      </x:c>
      <x:c r="E126" s="46" t="str">
        <x:v>6200</x:v>
      </x:c>
      <x:c r="F126" s="46" t="str">
        <x:v>Property Overhead</x:v>
      </x:c>
      <x:c r="G126" s="50" t="n">
        <x:v>28620</x:v>
      </x:c>
      <x:c r="H126" s="2"/>
      <x:c r="I126" s="2"/>
      <x:c r="J126" s="2"/>
    </x:row>
    <x:row r="127">
      <x:c r="C127" s="46" t="str">
        <x:v>v1.0</x:v>
      </x:c>
      <x:c r="D127" s="48" t="n">
        <x:v>46082</x:v>
      </x:c>
      <x:c r="E127" s="46" t="str">
        <x:v>6300</x:v>
      </x:c>
      <x:c r="F127" s="46" t="str">
        <x:v>Marketing</x:v>
      </x:c>
      <x:c r="G127" s="50" t="n">
        <x:v>11300</x:v>
      </x:c>
      <x:c r="H127" s="2"/>
      <x:c r="I127" s="2"/>
      <x:c r="J127" s="2"/>
    </x:row>
    <x:row r="128">
      <x:c r="C128" s="46" t="str">
        <x:v>v1.0</x:v>
      </x:c>
      <x:c r="D128" s="48" t="n">
        <x:v>46113</x:v>
      </x:c>
      <x:c r="E128" s="46" t="str">
        <x:v>4000</x:v>
      </x:c>
      <x:c r="F128" s="46" t="str">
        <x:v>Room Revenue</x:v>
      </x:c>
      <x:c r="G128" s="50" t="n">
        <x:v>300083.5</x:v>
      </x:c>
      <x:c r="H128" s="2"/>
      <x:c r="I128" s="2"/>
      <x:c r="J128" s="2"/>
    </x:row>
    <x:row r="129">
      <x:c r="C129" s="46" t="str">
        <x:v>v1.0</x:v>
      </x:c>
      <x:c r="D129" s="48" t="n">
        <x:v>46113</x:v>
      </x:c>
      <x:c r="E129" s="46" t="str">
        <x:v>5000</x:v>
      </x:c>
      <x:c r="F129" s="46" t="str">
        <x:v>Housekeeping Payroll</x:v>
      </x:c>
      <x:c r="G129" s="50" t="n">
        <x:v>28109.25</x:v>
      </x:c>
      <x:c r="H129" s="2"/>
      <x:c r="I129" s="2"/>
      <x:c r="J129" s="2"/>
    </x:row>
    <x:row r="130">
      <x:c r="C130" s="46" t="str">
        <x:v>v1.0</x:v>
      </x:c>
      <x:c r="D130" s="48" t="n">
        <x:v>46113</x:v>
      </x:c>
      <x:c r="E130" s="46" t="str">
        <x:v>5100</x:v>
      </x:c>
      <x:c r="F130" s="46" t="str">
        <x:v>Guest Services</x:v>
      </x:c>
      <x:c r="G130" s="50" t="n">
        <x:v>37830</x:v>
      </x:c>
      <x:c r="H130" s="2"/>
      <x:c r="I130" s="2"/>
      <x:c r="J130" s="2"/>
    </x:row>
    <x:row r="131">
      <x:c r="C131" s="46" t="str">
        <x:v>v1.0</x:v>
      </x:c>
      <x:c r="D131" s="48" t="n">
        <x:v>46113</x:v>
      </x:c>
      <x:c r="E131" s="46" t="str">
        <x:v>5200</x:v>
      </x:c>
      <x:c r="F131" s="46" t="str">
        <x:v>Distribution and Payment</x:v>
      </x:c>
      <x:c r="G131" s="50" t="n">
        <x:v>12003.34</x:v>
      </x:c>
      <x:c r="H131" s="2"/>
      <x:c r="I131" s="2"/>
      <x:c r="J131" s="2"/>
    </x:row>
    <x:row r="132">
      <x:c r="C132" s="46" t="str">
        <x:v>v1.0</x:v>
      </x:c>
      <x:c r="D132" s="48" t="n">
        <x:v>46113</x:v>
      </x:c>
      <x:c r="E132" s="46" t="str">
        <x:v>6000</x:v>
      </x:c>
      <x:c r="F132" s="46" t="str">
        <x:v>Fixed Staff Payroll</x:v>
      </x:c>
      <x:c r="G132" s="50" t="n">
        <x:v>30200</x:v>
      </x:c>
      <x:c r="H132" s="2"/>
      <x:c r="I132" s="2"/>
      <x:c r="J132" s="2"/>
    </x:row>
    <x:row r="133">
      <x:c r="C133" s="46" t="str">
        <x:v>v1.0</x:v>
      </x:c>
      <x:c r="D133" s="48" t="n">
        <x:v>46113</x:v>
      </x:c>
      <x:c r="E133" s="46" t="str">
        <x:v>6100</x:v>
      </x:c>
      <x:c r="F133" s="46" t="str">
        <x:v>Rent</x:v>
      </x:c>
      <x:c r="G133" s="50" t="n">
        <x:v>78000</x:v>
      </x:c>
      <x:c r="H133" s="2"/>
      <x:c r="I133" s="2"/>
      <x:c r="J133" s="2"/>
    </x:row>
    <x:row r="134">
      <x:c r="C134" s="46" t="str">
        <x:v>v1.0</x:v>
      </x:c>
      <x:c r="D134" s="48" t="n">
        <x:v>46113</x:v>
      </x:c>
      <x:c r="E134" s="46" t="str">
        <x:v>6200</x:v>
      </x:c>
      <x:c r="F134" s="46" t="str">
        <x:v>Property Overhead</x:v>
      </x:c>
      <x:c r="G134" s="50" t="n">
        <x:v>28710</x:v>
      </x:c>
      <x:c r="H134" s="2"/>
      <x:c r="I134" s="2"/>
      <x:c r="J134" s="2"/>
    </x:row>
    <x:row r="135">
      <x:c r="C135" s="46" t="str">
        <x:v>v1.0</x:v>
      </x:c>
      <x:c r="D135" s="48" t="n">
        <x:v>46113</x:v>
      </x:c>
      <x:c r="E135" s="46" t="str">
        <x:v>6300</x:v>
      </x:c>
      <x:c r="F135" s="46" t="str">
        <x:v>Marketing</x:v>
      </x:c>
      <x:c r="G135" s="50" t="n">
        <x:v>13100</x:v>
      </x:c>
      <x:c r="H135" s="2"/>
      <x:c r="I135" s="2"/>
      <x:c r="J135" s="2"/>
    </x:row>
    <x:row r="136">
      <x:c r="C136" s="46" t="str">
        <x:v>v1.0</x:v>
      </x:c>
      <x:c r="D136" s="48" t="n">
        <x:v>46143</x:v>
      </x:c>
      <x:c r="E136" s="46" t="str">
        <x:v>4000</x:v>
      </x:c>
      <x:c r="F136" s="46" t="str">
        <x:v>Room Revenue</x:v>
      </x:c>
      <x:c r="G136" s="50" t="n">
        <x:v>340731</x:v>
      </x:c>
      <x:c r="H136" s="2"/>
      <x:c r="I136" s="2"/>
      <x:c r="J136" s="2"/>
    </x:row>
    <x:row r="137">
      <x:c r="C137" s="46" t="str">
        <x:v>v1.0</x:v>
      </x:c>
      <x:c r="D137" s="48" t="n">
        <x:v>46143</x:v>
      </x:c>
      <x:c r="E137" s="46" t="str">
        <x:v>5000</x:v>
      </x:c>
      <x:c r="F137" s="46" t="str">
        <x:v>Housekeeping Payroll</x:v>
      </x:c>
      <x:c r="G137" s="50" t="n">
        <x:v>29839.05</x:v>
      </x:c>
      <x:c r="H137" s="2"/>
      <x:c r="I137" s="2"/>
      <x:c r="J137" s="2"/>
    </x:row>
    <x:row r="138">
      <x:c r="C138" s="46" t="str">
        <x:v>v1.0</x:v>
      </x:c>
      <x:c r="D138" s="48" t="n">
        <x:v>46143</x:v>
      </x:c>
      <x:c r="E138" s="46" t="str">
        <x:v>5100</x:v>
      </x:c>
      <x:c r="F138" s="46" t="str">
        <x:v>Guest Services</x:v>
      </x:c>
      <x:c r="G138" s="50" t="n">
        <x:v>42352.2</x:v>
      </x:c>
      <x:c r="H138" s="2"/>
      <x:c r="I138" s="2"/>
      <x:c r="J138" s="2"/>
    </x:row>
    <x:row r="139">
      <x:c r="C139" s="46" t="str">
        <x:v>v1.0</x:v>
      </x:c>
      <x:c r="D139" s="48" t="n">
        <x:v>46143</x:v>
      </x:c>
      <x:c r="E139" s="46" t="str">
        <x:v>5200</x:v>
      </x:c>
      <x:c r="F139" s="46" t="str">
        <x:v>Distribution and Payment</x:v>
      </x:c>
      <x:c r="G139" s="50" t="n">
        <x:v>13629.24</x:v>
      </x:c>
      <x:c r="H139" s="2"/>
      <x:c r="I139" s="2"/>
      <x:c r="J139" s="2"/>
    </x:row>
    <x:row r="140">
      <x:c r="C140" s="46" t="str">
        <x:v>v1.0</x:v>
      </x:c>
      <x:c r="D140" s="48" t="n">
        <x:v>46143</x:v>
      </x:c>
      <x:c r="E140" s="46" t="str">
        <x:v>6000</x:v>
      </x:c>
      <x:c r="F140" s="46" t="str">
        <x:v>Fixed Staff Payroll</x:v>
      </x:c>
      <x:c r="G140" s="50" t="n">
        <x:v>30350</x:v>
      </x:c>
      <x:c r="H140" s="2"/>
      <x:c r="I140" s="2"/>
      <x:c r="J140" s="2"/>
    </x:row>
    <x:row r="141">
      <x:c r="C141" s="46" t="str">
        <x:v>v1.0</x:v>
      </x:c>
      <x:c r="D141" s="48" t="n">
        <x:v>46143</x:v>
      </x:c>
      <x:c r="E141" s="46" t="str">
        <x:v>6100</x:v>
      </x:c>
      <x:c r="F141" s="46" t="str">
        <x:v>Rent</x:v>
      </x:c>
      <x:c r="G141" s="50" t="n">
        <x:v>78000</x:v>
      </x:c>
      <x:c r="H141" s="2"/>
      <x:c r="I141" s="2"/>
      <x:c r="J141" s="2"/>
    </x:row>
    <x:row r="142">
      <x:c r="C142" s="46" t="str">
        <x:v>v1.0</x:v>
      </x:c>
      <x:c r="D142" s="48" t="n">
        <x:v>46143</x:v>
      </x:c>
      <x:c r="E142" s="46" t="str">
        <x:v>6200</x:v>
      </x:c>
      <x:c r="F142" s="46" t="str">
        <x:v>Property Overhead</x:v>
      </x:c>
      <x:c r="G142" s="50" t="n">
        <x:v>30350</x:v>
      </x:c>
      <x:c r="H142" s="2"/>
      <x:c r="I142" s="2"/>
      <x:c r="J142" s="2"/>
    </x:row>
    <x:row r="143">
      <x:c r="C143" s="46" t="str">
        <x:v>v1.0</x:v>
      </x:c>
      <x:c r="D143" s="48" t="n">
        <x:v>46143</x:v>
      </x:c>
      <x:c r="E143" s="46" t="str">
        <x:v>6300</x:v>
      </x:c>
      <x:c r="F143" s="46" t="str">
        <x:v>Marketing</x:v>
      </x:c>
      <x:c r="G143" s="50" t="n">
        <x:v>14200</x:v>
      </x:c>
      <x:c r="H143" s="2"/>
      <x:c r="I143" s="2"/>
      <x:c r="J143" s="2"/>
    </x:row>
    <x:row r="144">
      <x:c r="C144" s="46" t="str">
        <x:v>v1.0</x:v>
      </x:c>
      <x:c r="D144" s="48" t="n">
        <x:v>46174</x:v>
      </x:c>
      <x:c r="E144" s="46" t="str">
        <x:v>4000</x:v>
      </x:c>
      <x:c r="F144" s="46" t="str">
        <x:v>Room Revenue</x:v>
      </x:c>
      <x:c r="G144" s="50" t="n">
        <x:v>379057.5</x:v>
      </x:c>
      <x:c r="H144" s="2"/>
      <x:c r="I144" s="2"/>
      <x:c r="J144" s="2"/>
    </x:row>
    <x:row r="145">
      <x:c r="C145" s="46" t="str">
        <x:v>v1.0</x:v>
      </x:c>
      <x:c r="D145" s="48" t="n">
        <x:v>46174</x:v>
      </x:c>
      <x:c r="E145" s="46" t="str">
        <x:v>5000</x:v>
      </x:c>
      <x:c r="F145" s="46" t="str">
        <x:v>Housekeeping Payroll</x:v>
      </x:c>
      <x:c r="G145" s="50" t="n">
        <x:v>29490.3</x:v>
      </x:c>
      <x:c r="H145" s="2"/>
      <x:c r="I145" s="2"/>
      <x:c r="J145" s="2"/>
    </x:row>
    <x:row r="146">
      <x:c r="C146" s="46" t="str">
        <x:v>v1.0</x:v>
      </x:c>
      <x:c r="D146" s="48" t="n">
        <x:v>46174</x:v>
      </x:c>
      <x:c r="E146" s="46" t="str">
        <x:v>5100</x:v>
      </x:c>
      <x:c r="F146" s="46" t="str">
        <x:v>Guest Services</x:v>
      </x:c>
      <x:c r="G146" s="50" t="n">
        <x:v>45526.5</x:v>
      </x:c>
      <x:c r="H146" s="2"/>
      <x:c r="I146" s="2"/>
      <x:c r="J146" s="2"/>
    </x:row>
    <x:row r="147">
      <x:c r="C147" s="46" t="str">
        <x:v>v1.0</x:v>
      </x:c>
      <x:c r="D147" s="48" t="n">
        <x:v>46174</x:v>
      </x:c>
      <x:c r="E147" s="46" t="str">
        <x:v>5200</x:v>
      </x:c>
      <x:c r="F147" s="46" t="str">
        <x:v>Distribution and Payment</x:v>
      </x:c>
      <x:c r="G147" s="50" t="n">
        <x:v>15162.3</x:v>
      </x:c>
      <x:c r="H147" s="2"/>
      <x:c r="I147" s="2"/>
      <x:c r="J147" s="2"/>
    </x:row>
    <x:row r="148">
      <x:c r="C148" s="46" t="str">
        <x:v>v1.0</x:v>
      </x:c>
      <x:c r="D148" s="48" t="n">
        <x:v>46174</x:v>
      </x:c>
      <x:c r="E148" s="46" t="str">
        <x:v>6000</x:v>
      </x:c>
      <x:c r="F148" s="46" t="str">
        <x:v>Fixed Staff Payroll</x:v>
      </x:c>
      <x:c r="G148" s="50" t="n">
        <x:v>30250</x:v>
      </x:c>
      <x:c r="H148" s="2"/>
      <x:c r="I148" s="2"/>
      <x:c r="J148" s="2"/>
    </x:row>
    <x:row r="149">
      <x:c r="C149" s="46" t="str">
        <x:v>v1.0</x:v>
      </x:c>
      <x:c r="D149" s="48" t="n">
        <x:v>46174</x:v>
      </x:c>
      <x:c r="E149" s="46" t="str">
        <x:v>6100</x:v>
      </x:c>
      <x:c r="F149" s="46" t="str">
        <x:v>Rent</x:v>
      </x:c>
      <x:c r="G149" s="50" t="n">
        <x:v>78000</x:v>
      </x:c>
      <x:c r="H149" s="2"/>
      <x:c r="I149" s="2"/>
      <x:c r="J149" s="2"/>
    </x:row>
    <x:row r="150">
      <x:c r="C150" s="46" t="str">
        <x:v>v1.0</x:v>
      </x:c>
      <x:c r="D150" s="48" t="n">
        <x:v>46174</x:v>
      </x:c>
      <x:c r="E150" s="46" t="str">
        <x:v>6200</x:v>
      </x:c>
      <x:c r="F150" s="46" t="str">
        <x:v>Property Overhead</x:v>
      </x:c>
      <x:c r="G150" s="50" t="n">
        <x:v>29410</x:v>
      </x:c>
      <x:c r="H150" s="2"/>
      <x:c r="I150" s="2"/>
      <x:c r="J150" s="2"/>
    </x:row>
    <x:row r="151">
      <x:c r="C151" s="47" t="str">
        <x:v>v1.0</x:v>
      </x:c>
      <x:c r="D151" s="49" t="n">
        <x:v>46174</x:v>
      </x:c>
      <x:c r="E151" s="47" t="str">
        <x:v>6300</x:v>
      </x:c>
      <x:c r="F151" s="47" t="str">
        <x:v>Marketing</x:v>
      </x:c>
      <x:c r="G151" s="51" t="n">
        <x:v>6000</x:v>
      </x:c>
      <x:c r="H151" s="2"/>
      <x:c r="I151" s="2"/>
      <x:c r="J151" s="2"/>
    </x:row>
    <x:row r="152">
      <x:c r="C152" s="2"/>
      <x:c r="D152" s="2"/>
      <x:c r="E152" s="2"/>
      <x:c r="F152" s="2"/>
      <x:c r="G152" s="2"/>
      <x:c r="H152" s="2"/>
      <x:c r="I152" s="2"/>
      <x:c r="J152" s="2"/>
    </x:row>
    <x:row r="153">
      <x:c r="C153" s="2"/>
      <x:c r="D153" s="2"/>
      <x:c r="E153" s="2"/>
      <x:c r="F153" s="2"/>
      <x:c r="G153" s="2"/>
      <x:c r="H153" s="2"/>
      <x:c r="I153" s="2"/>
      <x:c r="J153" s="2"/>
    </x:row>
    <x:row r="154">
      <x:c r="C154" s="2"/>
      <x:c r="D154" s="2"/>
      <x:c r="E154" s="2"/>
      <x:c r="F154" s="2"/>
      <x:c r="G154" s="2"/>
      <x:c r="H154" s="2"/>
      <x:c r="I154" s="2"/>
      <x:c r="J154" s="2"/>
    </x:row>
    <x:row r="155">
      <x:c r="C155" s="41" t="str">
        <x:v>Source: data/operating_actuals.csv | Case version: v1.0 | Static recorded facts</x:v>
      </x:c>
      <x:c r="D155" s="41"/>
      <x:c r="E155" s="41"/>
      <x:c r="F155" s="41"/>
      <x:c r="G155" s="41"/>
      <x:c r="H155" s="41"/>
      <x:c r="I155" s="41"/>
      <x:c r="J155" s="41"/>
    </x:row>
    <x:row r="156">
      <x:c r="C156" s="2"/>
      <x:c r="D156" s="2"/>
      <x:c r="E156" s="2"/>
      <x:c r="F156" s="2"/>
      <x:c r="G156" s="2"/>
      <x:c r="H156" s="2"/>
      <x:c r="I156" s="2"/>
      <x:c r="J156" s="2"/>
    </x:row>
    <x:row r="157" ht="34" customHeight="1">
      <x:c r="C157" s="45" t="str">
        <x:v>case_version</x:v>
      </x:c>
      <x:c r="D157" s="45" t="str">
        <x:v>period</x:v>
      </x:c>
      <x:c r="E157" s="45" t="str">
        <x:v>segment</x:v>
      </x:c>
      <x:c r="F157" s="45" t="str">
        <x:v>occupied_room_nights</x:v>
      </x:c>
      <x:c r="G157" s="45" t="str">
        <x:v>room_revenue</x:v>
      </x:c>
      <x:c r="H157" s="2"/>
      <x:c r="I157" s="2"/>
      <x:c r="J157" s="2"/>
    </x:row>
    <x:row r="158">
      <x:c r="C158" s="46" t="str">
        <x:v>v1.0</x:v>
      </x:c>
      <x:c r="D158" s="48" t="n">
        <x:v>45658</x:v>
      </x:c>
      <x:c r="E158" s="46" t="str">
        <x:v>Retail/Leisure</x:v>
      </x:c>
      <x:c r="F158" s="52" t="n">
        <x:v>1154</x:v>
      </x:c>
      <x:c r="G158" s="50" t="n">
        <x:v>167907</x:v>
      </x:c>
      <x:c r="H158" s="2"/>
      <x:c r="I158" s="2"/>
      <x:c r="J158" s="2"/>
    </x:row>
    <x:row r="159">
      <x:c r="C159" s="46" t="str">
        <x:v>v1.0</x:v>
      </x:c>
      <x:c r="D159" s="48" t="n">
        <x:v>45658</x:v>
      </x:c>
      <x:c r="E159" s="46" t="str">
        <x:v>Negotiated Corporate</x:v>
      </x:c>
      <x:c r="F159" s="52" t="n">
        <x:v>427</x:v>
      </x:c>
      <x:c r="G159" s="50" t="n">
        <x:v>55296.5</x:v>
      </x:c>
      <x:c r="H159" s="2"/>
      <x:c r="I159" s="2"/>
      <x:c r="J159" s="2"/>
    </x:row>
    <x:row r="160">
      <x:c r="C160" s="46" t="str">
        <x:v>v1.0</x:v>
      </x:c>
      <x:c r="D160" s="48" t="n">
        <x:v>45689</x:v>
      </x:c>
      <x:c r="E160" s="46" t="str">
        <x:v>Retail/Leisure</x:v>
      </x:c>
      <x:c r="F160" s="52" t="n">
        <x:v>1109</x:v>
      </x:c>
      <x:c r="G160" s="50" t="n">
        <x:v>165241</x:v>
      </x:c>
      <x:c r="H160" s="2"/>
      <x:c r="I160" s="2"/>
      <x:c r="J160" s="2"/>
    </x:row>
    <x:row r="161">
      <x:c r="C161" s="46" t="str">
        <x:v>v1.0</x:v>
      </x:c>
      <x:c r="D161" s="48" t="n">
        <x:v>45689</x:v>
      </x:c>
      <x:c r="E161" s="46" t="str">
        <x:v>Negotiated Corporate</x:v>
      </x:c>
      <x:c r="F161" s="52" t="n">
        <x:v>431</x:v>
      </x:c>
      <x:c r="G161" s="50" t="n">
        <x:v>56030</x:v>
      </x:c>
      <x:c r="H161" s="2"/>
      <x:c r="I161" s="2"/>
      <x:c r="J161" s="2"/>
    </x:row>
    <x:row r="162">
      <x:c r="C162" s="46" t="str">
        <x:v>v1.0</x:v>
      </x:c>
      <x:c r="D162" s="48" t="n">
        <x:v>45717</x:v>
      </x:c>
      <x:c r="E162" s="46" t="str">
        <x:v>Retail/Leisure</x:v>
      </x:c>
      <x:c r="F162" s="52" t="n">
        <x:v>1367</x:v>
      </x:c>
      <x:c r="G162" s="50" t="n">
        <x:v>211201.5</x:v>
      </x:c>
      <x:c r="H162" s="2"/>
      <x:c r="I162" s="2"/>
      <x:c r="J162" s="2"/>
    </x:row>
    <x:row r="163">
      <x:c r="C163" s="46" t="str">
        <x:v>v1.0</x:v>
      </x:c>
      <x:c r="D163" s="48" t="n">
        <x:v>45717</x:v>
      </x:c>
      <x:c r="E163" s="46" t="str">
        <x:v>Negotiated Corporate</x:v>
      </x:c>
      <x:c r="F163" s="52" t="n">
        <x:v>586</x:v>
      </x:c>
      <x:c r="G163" s="50" t="n">
        <x:v>78231</x:v>
      </x:c>
      <x:c r="H163" s="2"/>
      <x:c r="I163" s="2"/>
      <x:c r="J163" s="2"/>
    </x:row>
    <x:row r="164">
      <x:c r="C164" s="46" t="str">
        <x:v>v1.0</x:v>
      </x:c>
      <x:c r="D164" s="48" t="n">
        <x:v>45748</x:v>
      </x:c>
      <x:c r="E164" s="46" t="str">
        <x:v>Retail/Leisure</x:v>
      </x:c>
      <x:c r="F164" s="52" t="n">
        <x:v>1387</x:v>
      </x:c>
      <x:c r="G164" s="50" t="n">
        <x:v>220533</x:v>
      </x:c>
      <x:c r="H164" s="2"/>
      <x:c r="I164" s="2"/>
      <x:c r="J164" s="2"/>
    </x:row>
    <x:row r="165">
      <x:c r="C165" s="46" t="str">
        <x:v>v1.0</x:v>
      </x:c>
      <x:c r="D165" s="48" t="n">
        <x:v>45748</x:v>
      </x:c>
      <x:c r="E165" s="46" t="str">
        <x:v>Negotiated Corporate</x:v>
      </x:c>
      <x:c r="F165" s="52" t="n">
        <x:v>623</x:v>
      </x:c>
      <x:c r="G165" s="50" t="n">
        <x:v>85974</x:v>
      </x:c>
      <x:c r="H165" s="2"/>
      <x:c r="I165" s="2"/>
      <x:c r="J165" s="2"/>
    </x:row>
    <x:row r="166">
      <x:c r="C166" s="46" t="str">
        <x:v>v1.0</x:v>
      </x:c>
      <x:c r="D166" s="48" t="n">
        <x:v>45778</x:v>
      </x:c>
      <x:c r="E166" s="46" t="str">
        <x:v>Retail/Leisure</x:v>
      </x:c>
      <x:c r="F166" s="52" t="n">
        <x:v>1518</x:v>
      </x:c>
      <x:c r="G166" s="50" t="n">
        <x:v>257301</x:v>
      </x:c>
      <x:c r="H166" s="2"/>
      <x:c r="I166" s="2"/>
      <x:c r="J166" s="2"/>
    </x:row>
    <x:row r="167">
      <x:c r="C167" s="46" t="str">
        <x:v>v1.0</x:v>
      </x:c>
      <x:c r="D167" s="48" t="n">
        <x:v>45778</x:v>
      </x:c>
      <x:c r="E167" s="46" t="str">
        <x:v>Negotiated Corporate</x:v>
      </x:c>
      <x:c r="F167" s="52" t="n">
        <x:v>714</x:v>
      </x:c>
      <x:c r="G167" s="50" t="n">
        <x:v>101745</x:v>
      </x:c>
      <x:c r="H167" s="2"/>
      <x:c r="I167" s="2"/>
      <x:c r="J167" s="2"/>
    </x:row>
    <x:row r="168">
      <x:c r="C168" s="46" t="str">
        <x:v>v1.0</x:v>
      </x:c>
      <x:c r="D168" s="48" t="n">
        <x:v>45809</x:v>
      </x:c>
      <x:c r="E168" s="46" t="str">
        <x:v>Retail/Leisure</x:v>
      </x:c>
      <x:c r="F168" s="52" t="n">
        <x:v>1505</x:v>
      </x:c>
      <x:c r="G168" s="50" t="n">
        <x:v>264127.5</x:v>
      </x:c>
      <x:c r="H168" s="2"/>
      <x:c r="I168" s="2"/>
      <x:c r="J168" s="2"/>
    </x:row>
    <x:row r="169">
      <x:c r="C169" s="46" t="str">
        <x:v>v1.0</x:v>
      </x:c>
      <x:c r="D169" s="48" t="n">
        <x:v>45809</x:v>
      </x:c>
      <x:c r="E169" s="46" t="str">
        <x:v>Negotiated Corporate</x:v>
      </x:c>
      <x:c r="F169" s="52" t="n">
        <x:v>775</x:v>
      </x:c>
      <x:c r="G169" s="50" t="n">
        <x:v>111987.5</x:v>
      </x:c>
      <x:c r="H169" s="2"/>
      <x:c r="I169" s="2"/>
      <x:c r="J169" s="2"/>
    </x:row>
    <x:row r="170">
      <x:c r="C170" s="46" t="str">
        <x:v>v1.0</x:v>
      </x:c>
      <x:c r="D170" s="48" t="n">
        <x:v>45839</x:v>
      </x:c>
      <x:c r="E170" s="46" t="str">
        <x:v>Retail/Leisure</x:v>
      </x:c>
      <x:c r="F170" s="52" t="n">
        <x:v>1647</x:v>
      </x:c>
      <x:c r="G170" s="50" t="n">
        <x:v>304695</x:v>
      </x:c>
      <x:c r="H170" s="2"/>
      <x:c r="I170" s="2"/>
      <x:c r="J170" s="2"/>
    </x:row>
    <x:row r="171">
      <x:c r="C171" s="46" t="str">
        <x:v>v1.0</x:v>
      </x:c>
      <x:c r="D171" s="48" t="n">
        <x:v>45839</x:v>
      </x:c>
      <x:c r="E171" s="46" t="str">
        <x:v>Negotiated Corporate</x:v>
      </x:c>
      <x:c r="F171" s="52" t="n">
        <x:v>926</x:v>
      </x:c>
      <x:c r="G171" s="50" t="n">
        <x:v>139826</x:v>
      </x:c>
      <x:c r="H171" s="2"/>
      <x:c r="I171" s="2"/>
      <x:c r="J171" s="2"/>
    </x:row>
    <x:row r="172">
      <x:c r="C172" s="46" t="str">
        <x:v>v1.0</x:v>
      </x:c>
      <x:c r="D172" s="48" t="n">
        <x:v>45870</x:v>
      </x:c>
      <x:c r="E172" s="46" t="str">
        <x:v>Retail/Leisure</x:v>
      </x:c>
      <x:c r="F172" s="52" t="n">
        <x:v>1612</x:v>
      </x:c>
      <x:c r="G172" s="50" t="n">
        <x:v>293384</x:v>
      </x:c>
      <x:c r="H172" s="2"/>
      <x:c r="I172" s="2"/>
      <x:c r="J172" s="2"/>
    </x:row>
    <x:row r="173">
      <x:c r="C173" s="46" t="str">
        <x:v>v1.0</x:v>
      </x:c>
      <x:c r="D173" s="48" t="n">
        <x:v>45870</x:v>
      </x:c>
      <x:c r="E173" s="46" t="str">
        <x:v>Negotiated Corporate</x:v>
      </x:c>
      <x:c r="F173" s="52" t="n">
        <x:v>868</x:v>
      </x:c>
      <x:c r="G173" s="50" t="n">
        <x:v>128464</x:v>
      </x:c>
      <x:c r="H173" s="2"/>
      <x:c r="I173" s="2"/>
      <x:c r="J173" s="2"/>
    </x:row>
    <x:row r="174">
      <x:c r="C174" s="46" t="str">
        <x:v>v1.0</x:v>
      </x:c>
      <x:c r="D174" s="48" t="n">
        <x:v>45901</x:v>
      </x:c>
      <x:c r="E174" s="46" t="str">
        <x:v>Retail/Leisure</x:v>
      </x:c>
      <x:c r="F174" s="52" t="n">
        <x:v>1407</x:v>
      </x:c>
      <x:c r="G174" s="50" t="n">
        <x:v>241300.5</x:v>
      </x:c>
      <x:c r="H174" s="2"/>
      <x:c r="I174" s="2"/>
      <x:c r="J174" s="2"/>
    </x:row>
    <x:row r="175">
      <x:c r="C175" s="46" t="str">
        <x:v>v1.0</x:v>
      </x:c>
      <x:c r="D175" s="48" t="n">
        <x:v>45901</x:v>
      </x:c>
      <x:c r="E175" s="46" t="str">
        <x:v>Negotiated Corporate</x:v>
      </x:c>
      <x:c r="F175" s="52" t="n">
        <x:v>693</x:v>
      </x:c>
      <x:c r="G175" s="50" t="n">
        <x:v>99445.5</x:v>
      </x:c>
      <x:c r="H175" s="2"/>
      <x:c r="I175" s="2"/>
      <x:c r="J175" s="2"/>
    </x:row>
    <x:row r="176">
      <x:c r="C176" s="46" t="str">
        <x:v>v1.0</x:v>
      </x:c>
      <x:c r="D176" s="48" t="n">
        <x:v>45931</x:v>
      </x:c>
      <x:c r="E176" s="46" t="str">
        <x:v>Retail/Leisure</x:v>
      </x:c>
      <x:c r="F176" s="52" t="n">
        <x:v>1455</x:v>
      </x:c>
      <x:c r="G176" s="50" t="n">
        <x:v>242985</x:v>
      </x:c>
      <x:c r="H176" s="2"/>
      <x:c r="I176" s="2"/>
      <x:c r="J176" s="2"/>
    </x:row>
    <x:row r="177">
      <x:c r="C177" s="46" t="str">
        <x:v>v1.0</x:v>
      </x:c>
      <x:c r="D177" s="48" t="n">
        <x:v>45931</x:v>
      </x:c>
      <x:c r="E177" s="46" t="str">
        <x:v>Negotiated Corporate</x:v>
      </x:c>
      <x:c r="F177" s="52" t="n">
        <x:v>653</x:v>
      </x:c>
      <x:c r="G177" s="50" t="n">
        <x:v>91746.5</x:v>
      </x:c>
      <x:c r="H177" s="2"/>
      <x:c r="I177" s="2"/>
      <x:c r="J177" s="2"/>
    </x:row>
    <x:row r="178">
      <x:c r="C178" s="46" t="str">
        <x:v>v1.0</x:v>
      </x:c>
      <x:c r="D178" s="48" t="n">
        <x:v>45962</x:v>
      </x:c>
      <x:c r="E178" s="46" t="str">
        <x:v>Retail/Leisure</x:v>
      </x:c>
      <x:c r="F178" s="52" t="n">
        <x:v>1235</x:v>
      </x:c>
      <x:c r="G178" s="50" t="n">
        <x:v>190807.5</x:v>
      </x:c>
      <x:c r="H178" s="2"/>
      <x:c r="I178" s="2"/>
      <x:c r="J178" s="2"/>
    </x:row>
    <x:row r="179">
      <x:c r="C179" s="46" t="str">
        <x:v>v1.0</x:v>
      </x:c>
      <x:c r="D179" s="48" t="n">
        <x:v>45962</x:v>
      </x:c>
      <x:c r="E179" s="46" t="str">
        <x:v>Negotiated Corporate</x:v>
      </x:c>
      <x:c r="F179" s="52" t="n">
        <x:v>505</x:v>
      </x:c>
      <x:c r="G179" s="50" t="n">
        <x:v>68680</x:v>
      </x:c>
      <x:c r="H179" s="2"/>
      <x:c r="I179" s="2"/>
      <x:c r="J179" s="2"/>
    </x:row>
    <x:row r="180">
      <x:c r="C180" s="46" t="str">
        <x:v>v1.0</x:v>
      </x:c>
      <x:c r="D180" s="48" t="n">
        <x:v>45992</x:v>
      </x:c>
      <x:c r="E180" s="46" t="str">
        <x:v>Retail/Leisure</x:v>
      </x:c>
      <x:c r="F180" s="52" t="n">
        <x:v>1228</x:v>
      </x:c>
      <x:c r="G180" s="50" t="n">
        <x:v>192796</x:v>
      </x:c>
      <x:c r="H180" s="2"/>
      <x:c r="I180" s="2"/>
      <x:c r="J180" s="2"/>
    </x:row>
    <x:row r="181">
      <x:c r="C181" s="46" t="str">
        <x:v>v1.0</x:v>
      </x:c>
      <x:c r="D181" s="48" t="n">
        <x:v>45992</x:v>
      </x:c>
      <x:c r="E181" s="46" t="str">
        <x:v>Negotiated Corporate</x:v>
      </x:c>
      <x:c r="F181" s="52" t="n">
        <x:v>477</x:v>
      </x:c>
      <x:c r="G181" s="50" t="n">
        <x:v>65349</x:v>
      </x:c>
      <x:c r="H181" s="2"/>
      <x:c r="I181" s="2"/>
      <x:c r="J181" s="2"/>
    </x:row>
    <x:row r="182">
      <x:c r="C182" s="46" t="str">
        <x:v>v1.0</x:v>
      </x:c>
      <x:c r="D182" s="48" t="n">
        <x:v>46023</x:v>
      </x:c>
      <x:c r="E182" s="46" t="str">
        <x:v>Retail/Leisure</x:v>
      </x:c>
      <x:c r="F182" s="52" t="n">
        <x:v>1144</x:v>
      </x:c>
      <x:c r="G182" s="50" t="n">
        <x:v>172744</x:v>
      </x:c>
      <x:c r="H182" s="2"/>
      <x:c r="I182" s="2"/>
      <x:c r="J182" s="2"/>
    </x:row>
    <x:row r="183">
      <x:c r="C183" s="46" t="str">
        <x:v>v1.0</x:v>
      </x:c>
      <x:c r="D183" s="48" t="n">
        <x:v>46023</x:v>
      </x:c>
      <x:c r="E183" s="46" t="str">
        <x:v>Negotiated Corporate</x:v>
      </x:c>
      <x:c r="F183" s="52" t="n">
        <x:v>514</x:v>
      </x:c>
      <x:c r="G183" s="50" t="n">
        <x:v>68105</x:v>
      </x:c>
      <x:c r="H183" s="2"/>
      <x:c r="I183" s="2"/>
      <x:c r="J183" s="2"/>
    </x:row>
    <x:row r="184">
      <x:c r="C184" s="46" t="str">
        <x:v>v1.0</x:v>
      </x:c>
      <x:c r="D184" s="48" t="n">
        <x:v>46054</x:v>
      </x:c>
      <x:c r="E184" s="46" t="str">
        <x:v>Retail/Leisure</x:v>
      </x:c>
      <x:c r="F184" s="52" t="n">
        <x:v>1075</x:v>
      </x:c>
      <x:c r="G184" s="50" t="n">
        <x:v>164475</x:v>
      </x:c>
      <x:c r="H184" s="2"/>
      <x:c r="I184" s="2"/>
      <x:c r="J184" s="2"/>
    </x:row>
    <x:row r="185">
      <x:c r="C185" s="46" t="str">
        <x:v>v1.0</x:v>
      </x:c>
      <x:c r="D185" s="48" t="n">
        <x:v>46054</x:v>
      </x:c>
      <x:c r="E185" s="46" t="str">
        <x:v>Negotiated Corporate</x:v>
      </x:c>
      <x:c r="F185" s="52" t="n">
        <x:v>529</x:v>
      </x:c>
      <x:c r="G185" s="50" t="n">
        <x:v>70357</x:v>
      </x:c>
      <x:c r="H185" s="2"/>
      <x:c r="I185" s="2"/>
      <x:c r="J185" s="2"/>
    </x:row>
    <x:row r="186">
      <x:c r="C186" s="46" t="str">
        <x:v>v1.0</x:v>
      </x:c>
      <x:c r="D186" s="48" t="n">
        <x:v>46082</x:v>
      </x:c>
      <x:c r="E186" s="46" t="str">
        <x:v>Retail/Leisure</x:v>
      </x:c>
      <x:c r="F186" s="52" t="n">
        <x:v>1192</x:v>
      </x:c>
      <x:c r="G186" s="50" t="n">
        <x:v>188932</x:v>
      </x:c>
      <x:c r="H186" s="2"/>
      <x:c r="I186" s="2"/>
      <x:c r="J186" s="2"/>
    </x:row>
    <x:row r="187">
      <x:c r="C187" s="46" t="str">
        <x:v>v1.0</x:v>
      </x:c>
      <x:c r="D187" s="48" t="n">
        <x:v>46082</x:v>
      </x:c>
      <x:c r="E187" s="46" t="str">
        <x:v>Negotiated Corporate</x:v>
      </x:c>
      <x:c r="F187" s="52" t="n">
        <x:v>730</x:v>
      </x:c>
      <x:c r="G187" s="50" t="n">
        <x:v>100375</x:v>
      </x:c>
      <x:c r="H187" s="2"/>
      <x:c r="I187" s="2"/>
      <x:c r="J187" s="2"/>
    </x:row>
    <x:row r="188">
      <x:c r="C188" s="46" t="str">
        <x:v>v1.0</x:v>
      </x:c>
      <x:c r="D188" s="48" t="n">
        <x:v>46113</x:v>
      </x:c>
      <x:c r="E188" s="46" t="str">
        <x:v>Retail/Leisure</x:v>
      </x:c>
      <x:c r="F188" s="52" t="n">
        <x:v>1111</x:v>
      </x:c>
      <x:c r="G188" s="50" t="n">
        <x:v>182204</x:v>
      </x:c>
      <x:c r="H188" s="2"/>
      <x:c r="I188" s="2"/>
      <x:c r="J188" s="2"/>
    </x:row>
    <x:row r="189">
      <x:c r="C189" s="46" t="str">
        <x:v>v1.0</x:v>
      </x:c>
      <x:c r="D189" s="48" t="n">
        <x:v>46113</x:v>
      </x:c>
      <x:c r="E189" s="46" t="str">
        <x:v>Negotiated Corporate</x:v>
      </x:c>
      <x:c r="F189" s="52" t="n">
        <x:v>839</x:v>
      </x:c>
      <x:c r="G189" s="50" t="n">
        <x:v>117879.5</x:v>
      </x:c>
      <x:c r="H189" s="2"/>
      <x:c r="I189" s="2"/>
      <x:c r="J189" s="2"/>
    </x:row>
    <x:row r="190">
      <x:c r="C190" s="46" t="str">
        <x:v>v1.0</x:v>
      </x:c>
      <x:c r="D190" s="48" t="n">
        <x:v>46143</x:v>
      </x:c>
      <x:c r="E190" s="46" t="str">
        <x:v>Retail/Leisure</x:v>
      </x:c>
      <x:c r="F190" s="52" t="n">
        <x:v>1176</x:v>
      </x:c>
      <x:c r="G190" s="50" t="n">
        <x:v>201096</x:v>
      </x:c>
      <x:c r="H190" s="2"/>
      <x:c r="I190" s="2"/>
      <x:c r="J190" s="2"/>
    </x:row>
    <x:row r="191">
      <x:c r="C191" s="46" t="str">
        <x:v>v1.0</x:v>
      </x:c>
      <x:c r="D191" s="48" t="n">
        <x:v>46143</x:v>
      </x:c>
      <x:c r="E191" s="46" t="str">
        <x:v>Negotiated Corporate</x:v>
      </x:c>
      <x:c r="F191" s="52" t="n">
        <x:v>963</x:v>
      </x:c>
      <x:c r="G191" s="50" t="n">
        <x:v>139635</x:v>
      </x:c>
      <x:c r="H191" s="2"/>
      <x:c r="I191" s="2"/>
      <x:c r="J191" s="2"/>
    </x:row>
    <x:row r="192">
      <x:c r="C192" s="46" t="str">
        <x:v>v1.0</x:v>
      </x:c>
      <x:c r="D192" s="48" t="n">
        <x:v>46174</x:v>
      </x:c>
      <x:c r="E192" s="46" t="str">
        <x:v>Retail/Leisure</x:v>
      </x:c>
      <x:c r="F192" s="52" t="n">
        <x:v>1314</x:v>
      </x:c>
      <x:c r="G192" s="50" t="n">
        <x:v>237834</x:v>
      </x:c>
      <x:c r="H192" s="2"/>
      <x:c r="I192" s="2"/>
      <x:c r="J192" s="2"/>
    </x:row>
    <x:row r="193">
      <x:c r="C193" s="47" t="str">
        <x:v>v1.0</x:v>
      </x:c>
      <x:c r="D193" s="49" t="n">
        <x:v>46174</x:v>
      </x:c>
      <x:c r="E193" s="47" t="str">
        <x:v>Negotiated Corporate</x:v>
      </x:c>
      <x:c r="F193" s="53" t="n">
        <x:v>951</x:v>
      </x:c>
      <x:c r="G193" s="51" t="n">
        <x:v>141223.5</x:v>
      </x:c>
      <x:c r="H193" s="2"/>
      <x:c r="I193" s="2"/>
      <x:c r="J193" s="2"/>
    </x:row>
    <x:row r="194">
      <x:c r="C194" s="2"/>
      <x:c r="D194" s="2"/>
      <x:c r="E194" s="2"/>
      <x:c r="F194" s="2"/>
      <x:c r="G194" s="2"/>
      <x:c r="H194" s="2"/>
      <x:c r="I194" s="2"/>
      <x:c r="J194" s="2"/>
    </x:row>
    <x:row r="195">
      <x:c r="C195" s="2"/>
      <x:c r="D195" s="2"/>
      <x:c r="E195" s="2"/>
      <x:c r="F195" s="2"/>
      <x:c r="G195" s="2"/>
      <x:c r="H195" s="2"/>
      <x:c r="I195" s="2"/>
      <x:c r="J195" s="2"/>
    </x:row>
    <x:row r="196">
      <x:c r="C196" s="2"/>
      <x:c r="D196" s="2"/>
      <x:c r="E196" s="2"/>
      <x:c r="F196" s="2"/>
      <x:c r="G196" s="2"/>
      <x:c r="H196" s="2"/>
      <x:c r="I196" s="2"/>
      <x:c r="J196" s="2"/>
    </x:row>
    <x:row r="197">
      <x:c r="C197" s="41" t="str">
        <x:v>Source: data/labor_actuals.csv | Case version: v1.0 | Static recorded facts</x:v>
      </x:c>
      <x:c r="D197" s="41"/>
      <x:c r="E197" s="41"/>
      <x:c r="F197" s="41"/>
      <x:c r="G197" s="41"/>
      <x:c r="H197" s="41"/>
      <x:c r="I197" s="41"/>
      <x:c r="J197" s="41"/>
    </x:row>
    <x:row r="198">
      <x:c r="C198" s="2"/>
      <x:c r="D198" s="2"/>
      <x:c r="E198" s="2"/>
      <x:c r="F198" s="2"/>
      <x:c r="G198" s="2"/>
      <x:c r="H198" s="2"/>
      <x:c r="I198" s="2"/>
      <x:c r="J198" s="2"/>
    </x:row>
    <x:row r="199" ht="34" customHeight="1">
      <x:c r="C199" s="45" t="str">
        <x:v>case_version</x:v>
      </x:c>
      <x:c r="D199" s="45" t="str">
        <x:v>period</x:v>
      </x:c>
      <x:c r="E199" s="45" t="str">
        <x:v>housekeeping_hours</x:v>
      </x:c>
      <x:c r="F199" s="45" t="str">
        <x:v>housekeeping_payroll</x:v>
      </x:c>
      <x:c r="G199" s="45" t="str">
        <x:v>fixed_staff_fte</x:v>
      </x:c>
      <x:c r="H199" s="45" t="str">
        <x:v>fixed_staff_payroll</x:v>
      </x:c>
      <x:c r="I199" s="2"/>
      <x:c r="J199" s="2"/>
    </x:row>
    <x:row r="200">
      <x:c r="C200" s="46" t="str">
        <x:v>v1.0</x:v>
      </x:c>
      <x:c r="D200" s="48" t="n">
        <x:v>45658</x:v>
      </x:c>
      <x:c r="E200" s="54" t="n">
        <x:v>901.17</x:v>
      </x:c>
      <x:c r="F200" s="50" t="n">
        <x:v>18834.45</x:v>
      </x:c>
      <x:c r="G200" s="56" t="n">
        <x:v>5</x:v>
      </x:c>
      <x:c r="H200" s="50" t="n">
        <x:v>28750</x:v>
      </x:c>
      <x:c r="I200" s="2"/>
      <x:c r="J200" s="2"/>
    </x:row>
    <x:row r="201">
      <x:c r="C201" s="46" t="str">
        <x:v>v1.0</x:v>
      </x:c>
      <x:c r="D201" s="48" t="n">
        <x:v>45689</x:v>
      </x:c>
      <x:c r="E201" s="54" t="n">
        <x:v>862.4</x:v>
      </x:c>
      <x:c r="F201" s="50" t="n">
        <x:v>18110.4</x:v>
      </x:c>
      <x:c r="G201" s="56" t="n">
        <x:v>5</x:v>
      </x:c>
      <x:c r="H201" s="50" t="n">
        <x:v>28800</x:v>
      </x:c>
      <x:c r="I201" s="2"/>
      <x:c r="J201" s="2"/>
    </x:row>
    <x:row r="202">
      <x:c r="C202" s="46" t="str">
        <x:v>v1.0</x:v>
      </x:c>
      <x:c r="D202" s="48" t="n">
        <x:v>45717</x:v>
      </x:c>
      <x:c r="E202" s="54" t="n">
        <x:v>1074.15</x:v>
      </x:c>
      <x:c r="F202" s="50" t="n">
        <x:v>22610.86</x:v>
      </x:c>
      <x:c r="G202" s="56" t="n">
        <x:v>4.9</x:v>
      </x:c>
      <x:c r="H202" s="50" t="n">
        <x:v>28322</x:v>
      </x:c>
      <x:c r="I202" s="2"/>
      <x:c r="J202" s="2"/>
    </x:row>
    <x:row r="203">
      <x:c r="C203" s="46" t="str">
        <x:v>v1.0</x:v>
      </x:c>
      <x:c r="D203" s="48" t="n">
        <x:v>45748</x:v>
      </x:c>
      <x:c r="E203" s="54" t="n">
        <x:v>1105.5</x:v>
      </x:c>
      <x:c r="F203" s="50" t="n">
        <x:v>23436.6</x:v>
      </x:c>
      <x:c r="G203" s="56" t="n">
        <x:v>5</x:v>
      </x:c>
      <x:c r="H203" s="50" t="n">
        <x:v>29000</x:v>
      </x:c>
      <x:c r="I203" s="2"/>
      <x:c r="J203" s="2"/>
    </x:row>
    <x:row r="204">
      <x:c r="C204" s="46" t="str">
        <x:v>v1.0</x:v>
      </x:c>
      <x:c r="D204" s="48" t="n">
        <x:v>45778</x:v>
      </x:c>
      <x:c r="E204" s="54" t="n">
        <x:v>1182.96</x:v>
      </x:c>
      <x:c r="F204" s="50" t="n">
        <x:v>25137.9</x:v>
      </x:c>
      <x:c r="G204" s="56" t="n">
        <x:v>5</x:v>
      </x:c>
      <x:c r="H204" s="50" t="n">
        <x:v>29100</x:v>
      </x:c>
      <x:c r="I204" s="2"/>
      <x:c r="J204" s="2"/>
    </x:row>
    <x:row r="205">
      <x:c r="C205" s="46" t="str">
        <x:v>v1.0</x:v>
      </x:c>
      <x:c r="D205" s="48" t="n">
        <x:v>45809</x:v>
      </x:c>
      <x:c r="E205" s="54" t="n">
        <x:v>1208.4</x:v>
      </x:c>
      <x:c r="F205" s="50" t="n">
        <x:v>25738.92</x:v>
      </x:c>
      <x:c r="G205" s="56" t="n">
        <x:v>5</x:v>
      </x:c>
      <x:c r="H205" s="50" t="n">
        <x:v>29200</x:v>
      </x:c>
      <x:c r="I205" s="2"/>
      <x:c r="J205" s="2"/>
    </x:row>
    <x:row r="206">
      <x:c r="C206" s="46" t="str">
        <x:v>v1.0</x:v>
      </x:c>
      <x:c r="D206" s="48" t="n">
        <x:v>45839</x:v>
      </x:c>
      <x:c r="E206" s="54" t="n">
        <x:v>1286.5</x:v>
      </x:c>
      <x:c r="F206" s="50" t="n">
        <x:v>27595.43</x:v>
      </x:c>
      <x:c r="G206" s="56" t="n">
        <x:v>5.1</x:v>
      </x:c>
      <x:c r="H206" s="50" t="n">
        <x:v>29886</x:v>
      </x:c>
      <x:c r="I206" s="2"/>
      <x:c r="J206" s="2"/>
    </x:row>
    <x:row r="207">
      <x:c r="C207" s="46" t="str">
        <x:v>v1.0</x:v>
      </x:c>
      <x:c r="D207" s="48" t="n">
        <x:v>45870</x:v>
      </x:c>
      <x:c r="E207" s="54" t="n">
        <x:v>1264.8</x:v>
      </x:c>
      <x:c r="F207" s="50" t="n">
        <x:v>27193.2</x:v>
      </x:c>
      <x:c r="G207" s="56" t="n">
        <x:v>5.1</x:v>
      </x:c>
      <x:c r="H207" s="50" t="n">
        <x:v>29988</x:v>
      </x:c>
      <x:c r="I207" s="2"/>
      <x:c r="J207" s="2"/>
    </x:row>
    <x:row r="208">
      <x:c r="C208" s="46" t="str">
        <x:v>v1.0</x:v>
      </x:c>
      <x:c r="D208" s="48" t="n">
        <x:v>45901</x:v>
      </x:c>
      <x:c r="E208" s="54" t="n">
        <x:v>1134</x:v>
      </x:c>
      <x:c r="F208" s="50" t="n">
        <x:v>24437.7</x:v>
      </x:c>
      <x:c r="G208" s="56" t="n">
        <x:v>5</x:v>
      </x:c>
      <x:c r="H208" s="50" t="n">
        <x:v>29500</x:v>
      </x:c>
      <x:c r="I208" s="2"/>
      <x:c r="J208" s="2"/>
    </x:row>
    <x:row r="209">
      <x:c r="C209" s="46" t="str">
        <x:v>v1.0</x:v>
      </x:c>
      <x:c r="D209" s="48" t="n">
        <x:v>45931</x:v>
      </x:c>
      <x:c r="E209" s="54" t="n">
        <x:v>1138.32</x:v>
      </x:c>
      <x:c r="F209" s="50" t="n">
        <x:v>24701.54</x:v>
      </x:c>
      <x:c r="G209" s="56" t="n">
        <x:v>5</x:v>
      </x:c>
      <x:c r="H209" s="50" t="n">
        <x:v>29600</x:v>
      </x:c>
      <x:c r="I209" s="2"/>
      <x:c r="J209" s="2"/>
    </x:row>
    <x:row r="210">
      <x:c r="C210" s="46" t="str">
        <x:v>v1.0</x:v>
      </x:c>
      <x:c r="D210" s="48" t="n">
        <x:v>45962</x:v>
      </x:c>
      <x:c r="E210" s="54" t="n">
        <x:v>957</x:v>
      </x:c>
      <x:c r="F210" s="50" t="n">
        <x:v>20814.75</x:v>
      </x:c>
      <x:c r="G210" s="56" t="n">
        <x:v>5</x:v>
      </x:c>
      <x:c r="H210" s="50" t="n">
        <x:v>29700</x:v>
      </x:c>
      <x:c r="I210" s="2"/>
      <x:c r="J210" s="2"/>
    </x:row>
    <x:row r="211">
      <x:c r="C211" s="46" t="str">
        <x:v>v1.0</x:v>
      </x:c>
      <x:c r="D211" s="48" t="n">
        <x:v>45992</x:v>
      </x:c>
      <x:c r="E211" s="54" t="n">
        <x:v>971.85</x:v>
      </x:c>
      <x:c r="F211" s="50" t="n">
        <x:v>21186.33</x:v>
      </x:c>
      <x:c r="G211" s="56" t="n">
        <x:v>5</x:v>
      </x:c>
      <x:c r="H211" s="50" t="n">
        <x:v>29800</x:v>
      </x:c>
      <x:c r="I211" s="2"/>
      <x:c r="J211" s="2"/>
    </x:row>
    <x:row r="212">
      <x:c r="C212" s="46" t="str">
        <x:v>v1.0</x:v>
      </x:c>
      <x:c r="D212" s="48" t="n">
        <x:v>46023</x:v>
      </x:c>
      <x:c r="E212" s="54" t="n">
        <x:v>945.06</x:v>
      </x:c>
      <x:c r="F212" s="50" t="n">
        <x:v>20696.81</x:v>
      </x:c>
      <x:c r="G212" s="56" t="n">
        <x:v>5</x:v>
      </x:c>
      <x:c r="H212" s="50" t="n">
        <x:v>29900</x:v>
      </x:c>
      <x:c r="I212" s="2"/>
      <x:c r="J212" s="2"/>
    </x:row>
    <x:row r="213">
      <x:c r="C213" s="46" t="str">
        <x:v>v1.0</x:v>
      </x:c>
      <x:c r="D213" s="48" t="n">
        <x:v>46054</x:v>
      </x:c>
      <x:c r="E213" s="54" t="n">
        <x:v>882.2</x:v>
      </x:c>
      <x:c r="F213" s="50" t="n">
        <x:v>19408.4</x:v>
      </x:c>
      <x:c r="G213" s="56" t="n">
        <x:v>5</x:v>
      </x:c>
      <x:c r="H213" s="50" t="n">
        <x:v>30025</x:v>
      </x:c>
      <x:c r="I213" s="2"/>
      <x:c r="J213" s="2"/>
    </x:row>
    <x:row r="214">
      <x:c r="C214" s="46" t="str">
        <x:v>v1.0</x:v>
      </x:c>
      <x:c r="D214" s="48" t="n">
        <x:v>46082</x:v>
      </x:c>
      <x:c r="E214" s="54" t="n">
        <x:v>1076.32</x:v>
      </x:c>
      <x:c r="F214" s="50" t="n">
        <x:v>23786.67</x:v>
      </x:c>
      <x:c r="G214" s="56" t="n">
        <x:v>5</x:v>
      </x:c>
      <x:c r="H214" s="50" t="n">
        <x:v>30075</x:v>
      </x:c>
      <x:c r="I214" s="2"/>
      <x:c r="J214" s="2"/>
    </x:row>
    <x:row r="215">
      <x:c r="C215" s="46" t="str">
        <x:v>v1.0</x:v>
      </x:c>
      <x:c r="D215" s="48" t="n">
        <x:v>46113</x:v>
      </x:c>
      <x:c r="E215" s="54" t="n">
        <x:v>1209</x:v>
      </x:c>
      <x:c r="F215" s="50" t="n">
        <x:v>28109.25</x:v>
      </x:c>
      <x:c r="G215" s="56" t="n">
        <x:v>5</x:v>
      </x:c>
      <x:c r="H215" s="50" t="n">
        <x:v>30200</x:v>
      </x:c>
      <x:c r="I215" s="2"/>
      <x:c r="J215" s="2"/>
    </x:row>
    <x:row r="216">
      <x:c r="C216" s="46" t="str">
        <x:v>v1.0</x:v>
      </x:c>
      <x:c r="D216" s="48" t="n">
        <x:v>46143</x:v>
      </x:c>
      <x:c r="E216" s="54" t="n">
        <x:v>1283.4</x:v>
      </x:c>
      <x:c r="F216" s="50" t="n">
        <x:v>29839.05</x:v>
      </x:c>
      <x:c r="G216" s="56" t="n">
        <x:v>5</x:v>
      </x:c>
      <x:c r="H216" s="50" t="n">
        <x:v>30350</x:v>
      </x:c>
      <x:c r="I216" s="2"/>
      <x:c r="J216" s="2"/>
    </x:row>
    <x:row r="217">
      <x:c r="C217" s="47" t="str">
        <x:v>v1.0</x:v>
      </x:c>
      <x:c r="D217" s="49" t="n">
        <x:v>46174</x:v>
      </x:c>
      <x:c r="E217" s="55" t="n">
        <x:v>1268.4</x:v>
      </x:c>
      <x:c r="F217" s="51" t="n">
        <x:v>29490.3</x:v>
      </x:c>
      <x:c r="G217" s="57" t="n">
        <x:v>5</x:v>
      </x:c>
      <x:c r="H217" s="51" t="n">
        <x:v>30250</x:v>
      </x:c>
      <x:c r="I217" s="2"/>
      <x:c r="J217" s="2"/>
    </x:row>
    <x:row r="218">
      <x:c r="C218" s="2"/>
      <x:c r="D218" s="2"/>
      <x:c r="E218" s="2"/>
      <x:c r="F218" s="2"/>
      <x:c r="G218" s="2"/>
      <x:c r="H218" s="2"/>
      <x:c r="I218" s="2"/>
      <x:c r="J218" s="2"/>
    </x:row>
    <x:row r="219">
      <x:c r="C219" s="2"/>
      <x:c r="D219" s="2"/>
      <x:c r="E219" s="2"/>
      <x:c r="F219" s="2"/>
      <x:c r="G219" s="2"/>
      <x:c r="H219" s="2"/>
      <x:c r="I219" s="2"/>
      <x:c r="J219" s="2"/>
    </x:row>
    <x:row r="220">
      <x:c r="C220" s="2"/>
      <x:c r="D220" s="2"/>
      <x:c r="E220" s="2"/>
      <x:c r="F220" s="2"/>
      <x:c r="G220" s="2"/>
      <x:c r="H220" s="2"/>
      <x:c r="I220" s="2"/>
      <x:c r="J220" s="2"/>
    </x:row>
    <x:row r="221">
      <x:c r="C221" s="41" t="str">
        <x:v>Source: data/case_updates.csv | Information cutoff: July 8, 2026 | Static case information</x:v>
      </x:c>
      <x:c r="D221" s="41"/>
      <x:c r="E221" s="41"/>
      <x:c r="F221" s="41"/>
      <x:c r="G221" s="41"/>
      <x:c r="H221" s="41"/>
      <x:c r="I221" s="41"/>
      <x:c r="J221" s="41"/>
    </x:row>
    <x:row r="222">
      <x:c r="C222" s="2"/>
      <x:c r="D222" s="2"/>
      <x:c r="E222" s="2"/>
      <x:c r="F222" s="2"/>
      <x:c r="G222" s="2"/>
      <x:c r="H222" s="2"/>
      <x:c r="I222" s="2"/>
      <x:c r="J222" s="2"/>
    </x:row>
    <x:row r="223" ht="34" customHeight="1">
      <x:c r="C223" s="45" t="str">
        <x:v>update_id</x:v>
      </x:c>
      <x:c r="D223" s="45" t="str">
        <x:v>as_of_date</x:v>
      </x:c>
      <x:c r="E223" s="45" t="str">
        <x:v>effective_start</x:v>
      </x:c>
      <x:c r="F223" s="45" t="str">
        <x:v>effective_end</x:v>
      </x:c>
      <x:c r="G223" s="45" t="str">
        <x:v>category</x:v>
      </x:c>
      <x:c r="H223" s="45" t="str">
        <x:v>observation</x:v>
      </x:c>
      <x:c r="I223" s="45" t="str">
        <x:v>evidence_status</x:v>
      </x:c>
      <x:c r="J223" s="45" t="str">
        <x:v>forecast_relevance</x:v>
      </x:c>
    </x:row>
    <x:row r="224" ht="48" customHeight="1">
      <x:c r="C224" s="46" t="str">
        <x:v>UPD-2026-001</x:v>
      </x:c>
      <x:c r="D224" s="48" t="n">
        <x:v>46127</x:v>
      </x:c>
      <x:c r="E224" s="48" t="n">
        <x:v>46082</x:v>
      </x:c>
      <x:c r="F224" s="48" t="n">
        <x:v>46173</x:v>
      </x:c>
      <x:c r="G224" s="46" t="str">
        <x:v>Demand</x:v>
      </x:c>
      <x:c r="H224" s="58" t="str">
        <x:v>Weekly property records show retail/leisure occupied room nights below the approved planning pattern during March and April.</x:v>
      </x:c>
      <x:c r="I224" s="46" t="str">
        <x:v>Confirmed</x:v>
      </x:c>
      <x:c r="J224" s="58" t="str">
        <x:v>Use the dated results when reassessing second-half retail/leisure demand.</x:v>
      </x:c>
    </x:row>
    <x:row r="225" ht="48" customHeight="1">
      <x:c r="C225" s="46" t="str">
        <x:v>UPD-2026-002</x:v>
      </x:c>
      <x:c r="D225" s="48" t="n">
        <x:v>46162</x:v>
      </x:c>
      <x:c r="E225" s="48" t="n">
        <x:v>46082</x:v>
      </x:c>
      <x:c r="F225" s="48" t="n">
        <x:v>46203</x:v>
      </x:c>
      <x:c r="G225" s="46" t="str">
        <x:v>Customer Mix</x:v>
      </x:c>
      <x:c r="H225" s="58" t="str">
        <x:v>Negotiated corporate accounts generated additional transient room nights during the spring; no guaranteed room blocks are in place.</x:v>
      </x:c>
      <x:c r="I225" s="46" t="str">
        <x:v>Confirmed</x:v>
      </x:c>
      <x:c r="J225" s="58" t="str">
        <x:v>Separate customer mix from total demand when updating the outlook.</x:v>
      </x:c>
    </x:row>
    <x:row r="226" ht="48" customHeight="1">
      <x:c r="C226" s="46" t="str">
        <x:v>UPD-2026-003</x:v>
      </x:c>
      <x:c r="D226" s="48" t="n">
        <x:v>46099</x:v>
      </x:c>
      <x:c r="E226" s="48" t="n">
        <x:v>46113</x:v>
      </x:c>
      <x:c r="F226" s="48" t="n">
        <x:v>46387</x:v>
      </x:c>
      <x:c r="G226" s="46" t="str">
        <x:v>Labor Rate</x:v>
      </x:c>
      <x:c r="H226" s="58" t="str">
        <x:v>The loaded housekeeping wage increases to 23.25 per hour on April 1.</x:v>
      </x:c>
      <x:c r="I226" s="46" t="str">
        <x:v>Confirmed</x:v>
      </x:c>
      <x:c r="J226" s="58" t="str">
        <x:v>Apply the confirmed wage schedule from its effective date.</x:v>
      </x:c>
    </x:row>
    <x:row r="227" ht="48" customHeight="1">
      <x:c r="C227" s="46" t="str">
        <x:v>UPD-2026-004</x:v>
      </x:c>
      <x:c r="D227" s="48" t="n">
        <x:v>46193</x:v>
      </x:c>
      <x:c r="E227" s="48" t="n">
        <x:v>46113</x:v>
      </x:c>
      <x:c r="F227" s="48" t="n">
        <x:v>46203</x:v>
      </x:c>
      <x:c r="G227" s="46" t="str">
        <x:v>Labor Productivity</x:v>
      </x:c>
      <x:c r="H227" s="58" t="str">
        <x:v>Property logs record higher housekeeping hours during April and May; management expects the transition to continue easing after June.</x:v>
      </x:c>
      <x:c r="I227" s="46" t="str">
        <x:v>Management Estimate</x:v>
      </x:c>
      <x:c r="J227" s="58" t="str">
        <x:v>Retain the observed disruption and document any future normalization assumption.</x:v>
      </x:c>
    </x:row>
    <x:row r="228" ht="48" customHeight="1">
      <x:c r="C228" s="46" t="str">
        <x:v>UPD-2026-005</x:v>
      </x:c>
      <x:c r="D228" s="48" t="n">
        <x:v>46197</x:v>
      </x:c>
      <x:c r="E228" s="48" t="n">
        <x:v>46174</x:v>
      </x:c>
      <x:c r="F228" s="48" t="n">
        <x:v>46295</x:v>
      </x:c>
      <x:c r="G228" s="46" t="str">
        <x:v>Marketing Timing</x:v>
      </x:c>
      <x:c r="H228" s="58" t="str">
        <x:v>The marketing activity scheduled for June was not delivered and has been rescheduled for September.</x:v>
      </x:c>
      <x:c r="I228" s="46" t="str">
        <x:v>Confirmed</x:v>
      </x:c>
      <x:c r="J228" s="58" t="str">
        <x:v>Reflect service timing rather than payment timing in future assumptions.</x:v>
      </x:c>
    </x:row>
    <x:row r="229" ht="48" customHeight="1">
      <x:c r="C229" s="46" t="str">
        <x:v>UPD-2026-006</x:v>
      </x:c>
      <x:c r="D229" s="48" t="n">
        <x:v>46203</x:v>
      </x:c>
      <x:c r="E229" s="48" t="n">
        <x:v>46143</x:v>
      </x:c>
      <x:c r="F229" s="48" t="n">
        <x:v>46173</x:v>
      </x:c>
      <x:c r="G229" s="46" t="str">
        <x:v>Property Overhead</x:v>
      </x:c>
      <x:c r="H229" s="58" t="str">
        <x:v>A modest May property-overhead increase remains under vendor-detail review; available records do not establish a definitive cause.</x:v>
      </x:c>
      <x:c r="I229" s="46" t="str">
        <x:v>Unconfirmed</x:v>
      </x:c>
      <x:c r="J229" s="58" t="str">
        <x:v>Request invoice detail before changing ongoing overhead assumptions.</x:v>
      </x:c>
    </x:row>
    <x:row r="230" ht="48" customHeight="1">
      <x:c r="C230" s="47" t="str">
        <x:v>UPD-2026-007</x:v>
      </x:c>
      <x:c r="D230" s="49" t="n">
        <x:v>46211</x:v>
      </x:c>
      <x:c r="E230" s="49" t="n">
        <x:v>46204</x:v>
      </x:c>
      <x:c r="F230" s="49" t="n">
        <x:v>46387</x:v>
      </x:c>
      <x:c r="G230" s="47" t="str">
        <x:v>Demand Outlook</x:v>
      </x:c>
      <x:c r="H230" s="59" t="str">
        <x:v>Management's current view assumes partial second-half retail/leisure recovery, subject to summer pickup.</x:v>
      </x:c>
      <x:c r="I230" s="47" t="str">
        <x:v>Management Estimate</x:v>
      </x:c>
      <x:c r="J230" s="59" t="str">
        <x:v>Use only as a documented future assumption; recorded actuals remain unchanged.</x:v>
      </x:c>
    </x:row>
  </x:sheetData>
  <x:pageMargins left="0.7" right="0.7" top="0.75" bottom="0.75" header="0.3" footer="0.3"/>
  <x:tableParts count="4">
    <x:tablePart xmlns:r="http://schemas.openxmlformats.org/officeDocument/2006/relationships" r:id="Rdd9dceff27224fa4"/>
    <x:tablePart xmlns:r="http://schemas.openxmlformats.org/officeDocument/2006/relationships" r:id="Rd79f10af8ec94d80"/>
    <x:tablePart xmlns:r="http://schemas.openxmlformats.org/officeDocument/2006/relationships" r:id="R8b6d331356004643"/>
    <x:tablePart xmlns:r="http://schemas.openxmlformats.org/officeDocument/2006/relationships" r:id="R0303a68179504bf5"/>
  </x:tableParts>
</x:worksheet>
</file>

<file path=xl/worksheets/sheet3.xml><?xml version="1.0" encoding="utf-8"?>
<x:worksheet xmlns:x="http://schemas.openxmlformats.org/spreadsheetml/2006/main">
  <x:sheetPr>
    <x:tabColor rgb="FF2F6B70"/>
  </x:sheetPr>
  <x:sheetViews>
    <x:sheetView showGridLines="0" workbookViewId="0">
      <x:pane xSplit="4" ySplit="7" topLeftCell="E8" activePane="bottomRight" state="frozen"/>
    </x:sheetView>
  </x:sheetViews>
  <x:sheetFormatPr defaultRowHeight="15"/>
  <x:cols>
    <x:col min="3" max="3" width="18" hidden="0" customWidth="1"/>
    <x:col min="4" max="4" width="13" hidden="0" customWidth="1"/>
    <x:col min="5" max="5" width="15" hidden="0" customWidth="1"/>
    <x:col min="6" max="6" width="22" hidden="0" customWidth="1"/>
    <x:col min="7" max="7" width="15" hidden="0" customWidth="1"/>
    <x:col min="8" max="8" width="14" hidden="0" customWidth="1"/>
    <x:col min="9" max="9" width="14" hidden="0" customWidth="1"/>
    <x:col min="10" max="10" width="23" hidden="0" customWidth="1"/>
    <x:col min="11" max="11" width="23" hidden="0" customWidth="1"/>
    <x:col min="12" max="12" width="22" hidden="0" customWidth="1"/>
    <x:col min="13" max="13" width="18" hidden="0" customWidth="1"/>
    <x:col min="14" max="14" width="15" hidden="0" customWidth="1"/>
    <x:col min="15" max="15" width="15" hidden="0" customWidth="1"/>
    <x:col min="16" max="16" width="24" hidden="0" customWidth="1"/>
    <x:col min="17" max="17" width="16" hidden="0" customWidth="1"/>
    <x:col min="18" max="18" width="18" hidden="0" customWidth="1"/>
  </x:cols>
  <x:sheetData>
    <x:row r="2" ht="25" customHeight="1">
      <x:c r="C2" s="3" t="str">
        <x:v>Approved 2026 budget assumptions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C3" s="41" t="str">
        <x:v>The frozen approved plan is the single authoritative source for the Budget sheet.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>
      <x:c r="C5" s="41" t="str">
        <x:v>Source: data/approved_budget_assumptions.csv | Case version: v1.0 | Approved before 2026 actual results</x:v>
      </x:c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  <x:c r="O5" s="41"/>
      <x:c r="P5" s="41"/>
      <x:c r="Q5" s="41"/>
      <x:c r="R5" s="41"/>
    </x:row>
    <x:row r="6"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</x:row>
    <x:row r="7" ht="34" customHeight="1">
      <x:c r="C7" s="45" t="str">
        <x:v>case_version</x:v>
      </x:c>
      <x:c r="D7" s="45" t="str">
        <x:v>period</x:v>
      </x:c>
      <x:c r="E7" s="45" t="str">
        <x:v>rooms_available</x:v>
      </x:c>
      <x:c r="F7" s="45" t="str">
        <x:v>total_occupied_room_nights</x:v>
      </x:c>
      <x:c r="G7" s="45" t="str">
        <x:v>corporate_share</x:v>
      </x:c>
      <x:c r="H7" s="45" t="str">
        <x:v>retail_adr</x:v>
      </x:c>
      <x:c r="I7" s="45" t="str">
        <x:v>corporate_adr</x:v>
      </x:c>
      <x:c r="J7" s="45" t="str">
        <x:v>housekeeping_hours_per_occupied_room</x:v>
      </x:c>
      <x:c r="K7" s="45" t="str">
        <x:v>housekeeping_loaded_wage_per_hour</x:v>
      </x:c>
      <x:c r="L7" s="45" t="str">
        <x:v>guest_service_cost_per_occupied_room</x:v>
      </x:c>
      <x:c r="M7" s="45" t="str">
        <x:v>distribution_fee_rate</x:v>
      </x:c>
      <x:c r="N7" s="45" t="str">
        <x:v>fixed_staff_fte</x:v>
      </x:c>
      <x:c r="O7" s="45" t="str">
        <x:v>fixed_staff_loaded_cost_per_fte</x:v>
      </x:c>
      <x:c r="P7" s="45" t="str">
        <x:v>rent</x:v>
      </x:c>
      <x:c r="Q7" s="45" t="str">
        <x:v>property_overhead</x:v>
      </x:c>
      <x:c r="R7" s="45" t="str">
        <x:v>marketing</x:v>
      </x:c>
    </x:row>
    <x:row r="8">
      <x:c r="C8" s="60" t="str">
        <x:v>v1.0</x:v>
      </x:c>
      <x:c r="D8" s="64" t="n">
        <x:v>46023</x:v>
      </x:c>
      <x:c r="E8" s="66" t="n">
        <x:v>100</x:v>
      </x:c>
      <x:c r="F8" s="66" t="n">
        <x:v>1705</x:v>
      </x:c>
      <x:c r="G8" s="68" t="n">
        <x:v>0.3</x:v>
      </x:c>
      <x:c r="H8" s="70" t="n">
        <x:v>150</x:v>
      </x:c>
      <x:c r="I8" s="70" t="n">
        <x:v>132</x:v>
      </x:c>
      <x:c r="J8" s="72" t="n">
        <x:v>0.56</x:v>
      </x:c>
      <x:c r="K8" s="70" t="n">
        <x:v>22</x:v>
      </x:c>
      <x:c r="L8" s="70" t="n">
        <x:v>18.5</x:v>
      </x:c>
      <x:c r="M8" s="68" t="n">
        <x:v>0.04</x:v>
      </x:c>
      <x:c r="N8" s="74" t="n">
        <x:v>5</x:v>
      </x:c>
      <x:c r="O8" s="70" t="n">
        <x:v>6000</x:v>
      </x:c>
      <x:c r="P8" s="70" t="n">
        <x:v>78000</x:v>
      </x:c>
      <x:c r="Q8" s="70" t="n">
        <x:v>28000</x:v>
      </x:c>
      <x:c r="R8" s="70" t="n">
        <x:v>10000</x:v>
      </x:c>
    </x:row>
    <x:row r="9">
      <x:c r="C9" s="60" t="str">
        <x:v>v1.0</x:v>
      </x:c>
      <x:c r="D9" s="64" t="n">
        <x:v>46054</x:v>
      </x:c>
      <x:c r="E9" s="66" t="n">
        <x:v>100</x:v>
      </x:c>
      <x:c r="F9" s="66" t="n">
        <x:v>1624</x:v>
      </x:c>
      <x:c r="G9" s="68" t="n">
        <x:v>0.31</x:v>
      </x:c>
      <x:c r="H9" s="70" t="n">
        <x:v>152</x:v>
      </x:c>
      <x:c r="I9" s="70" t="n">
        <x:v>133</x:v>
      </x:c>
      <x:c r="J9" s="72" t="n">
        <x:v>0.55</x:v>
      </x:c>
      <x:c r="K9" s="70" t="n">
        <x:v>22</x:v>
      </x:c>
      <x:c r="L9" s="70" t="n">
        <x:v>18.7</x:v>
      </x:c>
      <x:c r="M9" s="68" t="n">
        <x:v>0.04</x:v>
      </x:c>
      <x:c r="N9" s="74" t="n">
        <x:v>5</x:v>
      </x:c>
      <x:c r="O9" s="70" t="n">
        <x:v>6000</x:v>
      </x:c>
      <x:c r="P9" s="70" t="n">
        <x:v>78000</x:v>
      </x:c>
      <x:c r="Q9" s="70" t="n">
        <x:v>28100</x:v>
      </x:c>
      <x:c r="R9" s="70" t="n">
        <x:v>9000</x:v>
      </x:c>
    </x:row>
    <x:row r="10">
      <x:c r="C10" s="60" t="str">
        <x:v>v1.0</x:v>
      </x:c>
      <x:c r="D10" s="64" t="n">
        <x:v>46082</x:v>
      </x:c>
      <x:c r="E10" s="66" t="n">
        <x:v>100</x:v>
      </x:c>
      <x:c r="F10" s="66" t="n">
        <x:v>2015</x:v>
      </x:c>
      <x:c r="G10" s="68" t="n">
        <x:v>0.32</x:v>
      </x:c>
      <x:c r="H10" s="70" t="n">
        <x:v>158</x:v>
      </x:c>
      <x:c r="I10" s="70" t="n">
        <x:v>137</x:v>
      </x:c>
      <x:c r="J10" s="72" t="n">
        <x:v>0.54</x:v>
      </x:c>
      <x:c r="K10" s="70" t="n">
        <x:v>22</x:v>
      </x:c>
      <x:c r="L10" s="70" t="n">
        <x:v>19</x:v>
      </x:c>
      <x:c r="M10" s="68" t="n">
        <x:v>0.04</x:v>
      </x:c>
      <x:c r="N10" s="74" t="n">
        <x:v>5</x:v>
      </x:c>
      <x:c r="O10" s="70" t="n">
        <x:v>6000</x:v>
      </x:c>
      <x:c r="P10" s="70" t="n">
        <x:v>78000</x:v>
      </x:c>
      <x:c r="Q10" s="70" t="n">
        <x:v>28500</x:v>
      </x:c>
      <x:c r="R10" s="70" t="n">
        <x:v>11000</x:v>
      </x:c>
    </x:row>
    <x:row r="11">
      <x:c r="C11" s="60" t="str">
        <x:v>v1.0</x:v>
      </x:c>
      <x:c r="D11" s="64" t="n">
        <x:v>46113</x:v>
      </x:c>
      <x:c r="E11" s="66" t="n">
        <x:v>100</x:v>
      </x:c>
      <x:c r="F11" s="66" t="n">
        <x:v>2100</x:v>
      </x:c>
      <x:c r="G11" s="68" t="n">
        <x:v>0.34</x:v>
      </x:c>
      <x:c r="H11" s="70" t="n">
        <x:v>164</x:v>
      </x:c>
      <x:c r="I11" s="70" t="n">
        <x:v>140</x:v>
      </x:c>
      <x:c r="J11" s="72" t="n">
        <x:v>0.53</x:v>
      </x:c>
      <x:c r="K11" s="70" t="n">
        <x:v>22</x:v>
      </x:c>
      <x:c r="L11" s="70" t="n">
        <x:v>19.2</x:v>
      </x:c>
      <x:c r="M11" s="68" t="n">
        <x:v>0.04</x:v>
      </x:c>
      <x:c r="N11" s="74" t="n">
        <x:v>5</x:v>
      </x:c>
      <x:c r="O11" s="70" t="n">
        <x:v>6000</x:v>
      </x:c>
      <x:c r="P11" s="70" t="n">
        <x:v>78000</x:v>
      </x:c>
      <x:c r="Q11" s="70" t="n">
        <x:v>28600</x:v>
      </x:c>
      <x:c r="R11" s="70" t="n">
        <x:v>13000</x:v>
      </x:c>
    </x:row>
    <x:row r="12">
      <x:c r="C12" s="60" t="str">
        <x:v>v1.0</x:v>
      </x:c>
      <x:c r="D12" s="64" t="n">
        <x:v>46143</x:v>
      </x:c>
      <x:c r="E12" s="66" t="n">
        <x:v>100</x:v>
      </x:c>
      <x:c r="F12" s="66" t="n">
        <x:v>2294</x:v>
      </x:c>
      <x:c r="G12" s="68" t="n">
        <x:v>0.35</x:v>
      </x:c>
      <x:c r="H12" s="70" t="n">
        <x:v>172</x:v>
      </x:c>
      <x:c r="I12" s="70" t="n">
        <x:v>145</x:v>
      </x:c>
      <x:c r="J12" s="72" t="n">
        <x:v>0.52</x:v>
      </x:c>
      <x:c r="K12" s="70" t="n">
        <x:v>22</x:v>
      </x:c>
      <x:c r="L12" s="70" t="n">
        <x:v>19.5</x:v>
      </x:c>
      <x:c r="M12" s="68" t="n">
        <x:v>0.04</x:v>
      </x:c>
      <x:c r="N12" s="74" t="n">
        <x:v>5</x:v>
      </x:c>
      <x:c r="O12" s="70" t="n">
        <x:v>6000</x:v>
      </x:c>
      <x:c r="P12" s="70" t="n">
        <x:v>78000</x:v>
      </x:c>
      <x:c r="Q12" s="70" t="n">
        <x:v>28900</x:v>
      </x:c>
      <x:c r="R12" s="70" t="n">
        <x:v>14000</x:v>
      </x:c>
    </x:row>
    <x:row r="13">
      <x:c r="C13" s="60" t="str">
        <x:v>v1.0</x:v>
      </x:c>
      <x:c r="D13" s="64" t="n">
        <x:v>46174</x:v>
      </x:c>
      <x:c r="E13" s="66" t="n">
        <x:v>100</x:v>
      </x:c>
      <x:c r="F13" s="66" t="n">
        <x:v>2340</x:v>
      </x:c>
      <x:c r="G13" s="68" t="n">
        <x:v>0.36</x:v>
      </x:c>
      <x:c r="H13" s="70" t="n">
        <x:v>180</x:v>
      </x:c>
      <x:c r="I13" s="70" t="n">
        <x:v>148</x:v>
      </x:c>
      <x:c r="J13" s="72" t="n">
        <x:v>0.51</x:v>
      </x:c>
      <x:c r="K13" s="70" t="n">
        <x:v>22</x:v>
      </x:c>
      <x:c r="L13" s="70" t="n">
        <x:v>19.8</x:v>
      </x:c>
      <x:c r="M13" s="68" t="n">
        <x:v>0.04</x:v>
      </x:c>
      <x:c r="N13" s="74" t="n">
        <x:v>5</x:v>
      </x:c>
      <x:c r="O13" s="70" t="n">
        <x:v>6000</x:v>
      </x:c>
      <x:c r="P13" s="70" t="n">
        <x:v>78000</x:v>
      </x:c>
      <x:c r="Q13" s="70" t="n">
        <x:v>29200</x:v>
      </x:c>
      <x:c r="R13" s="70" t="n">
        <x:v>24000</x:v>
      </x:c>
    </x:row>
    <x:row r="14">
      <x:c r="C14" s="60" t="str">
        <x:v>v1.0</x:v>
      </x:c>
      <x:c r="D14" s="64" t="n">
        <x:v>46204</x:v>
      </x:c>
      <x:c r="E14" s="66" t="n">
        <x:v>100</x:v>
      </x:c>
      <x:c r="F14" s="66" t="n">
        <x:v>2604</x:v>
      </x:c>
      <x:c r="G14" s="68" t="n">
        <x:v>0.38</x:v>
      </x:c>
      <x:c r="H14" s="70" t="n">
        <x:v>188</x:v>
      </x:c>
      <x:c r="I14" s="70" t="n">
        <x:v>153</x:v>
      </x:c>
      <x:c r="J14" s="72" t="n">
        <x:v>0.5</x:v>
      </x:c>
      <x:c r="K14" s="70" t="n">
        <x:v>22.75</x:v>
      </x:c>
      <x:c r="L14" s="70" t="n">
        <x:v>20</x:v>
      </x:c>
      <x:c r="M14" s="68" t="n">
        <x:v>0.04</x:v>
      </x:c>
      <x:c r="N14" s="74" t="n">
        <x:v>5</x:v>
      </x:c>
      <x:c r="O14" s="70" t="n">
        <x:v>6120</x:v>
      </x:c>
      <x:c r="P14" s="70" t="n">
        <x:v>78000</x:v>
      </x:c>
      <x:c r="Q14" s="70" t="n">
        <x:v>29800</x:v>
      </x:c>
      <x:c r="R14" s="70" t="n">
        <x:v>18000</x:v>
      </x:c>
    </x:row>
    <x:row r="15">
      <x:c r="C15" s="60" t="str">
        <x:v>v1.0</x:v>
      </x:c>
      <x:c r="D15" s="64" t="n">
        <x:v>46235</x:v>
      </x:c>
      <x:c r="E15" s="66" t="n">
        <x:v>100</x:v>
      </x:c>
      <x:c r="F15" s="66" t="n">
        <x:v>2542</x:v>
      </x:c>
      <x:c r="G15" s="68" t="n">
        <x:v>0.39</x:v>
      </x:c>
      <x:c r="H15" s="70" t="n">
        <x:v>185</x:v>
      </x:c>
      <x:c r="I15" s="70" t="n">
        <x:v>151</x:v>
      </x:c>
      <x:c r="J15" s="72" t="n">
        <x:v>0.5</x:v>
      </x:c>
      <x:c r="K15" s="70" t="n">
        <x:v>22.75</x:v>
      </x:c>
      <x:c r="L15" s="70" t="n">
        <x:v>20</x:v>
      </x:c>
      <x:c r="M15" s="68" t="n">
        <x:v>0.04</x:v>
      </x:c>
      <x:c r="N15" s="74" t="n">
        <x:v>5</x:v>
      </x:c>
      <x:c r="O15" s="70" t="n">
        <x:v>6120</x:v>
      </x:c>
      <x:c r="P15" s="70" t="n">
        <x:v>78000</x:v>
      </x:c>
      <x:c r="Q15" s="70" t="n">
        <x:v>30000</x:v>
      </x:c>
      <x:c r="R15" s="70" t="n">
        <x:v>15000</x:v>
      </x:c>
    </x:row>
    <x:row r="16">
      <x:c r="C16" s="60" t="str">
        <x:v>v1.0</x:v>
      </x:c>
      <x:c r="D16" s="64" t="n">
        <x:v>46266</x:v>
      </x:c>
      <x:c r="E16" s="66" t="n">
        <x:v>100</x:v>
      </x:c>
      <x:c r="F16" s="66" t="n">
        <x:v>2190</x:v>
      </x:c>
      <x:c r="G16" s="68" t="n">
        <x:v>0.4</x:v>
      </x:c>
      <x:c r="H16" s="70" t="n">
        <x:v>175</x:v>
      </x:c>
      <x:c r="I16" s="70" t="n">
        <x:v>146</x:v>
      </x:c>
      <x:c r="J16" s="72" t="n">
        <x:v>0.52</x:v>
      </x:c>
      <x:c r="K16" s="70" t="n">
        <x:v>22.75</x:v>
      </x:c>
      <x:c r="L16" s="70" t="n">
        <x:v>19.8</x:v>
      </x:c>
      <x:c r="M16" s="68" t="n">
        <x:v>0.04</x:v>
      </x:c>
      <x:c r="N16" s="74" t="n">
        <x:v>5</x:v>
      </x:c>
      <x:c r="O16" s="70" t="n">
        <x:v>6120</x:v>
      </x:c>
      <x:c r="P16" s="70" t="n">
        <x:v>78000</x:v>
      </x:c>
      <x:c r="Q16" s="70" t="n">
        <x:v>29400</x:v>
      </x:c>
      <x:c r="R16" s="70" t="n">
        <x:v>12000</x:v>
      </x:c>
    </x:row>
    <x:row r="17">
      <x:c r="C17" s="60" t="str">
        <x:v>v1.0</x:v>
      </x:c>
      <x:c r="D17" s="64" t="n">
        <x:v>46296</x:v>
      </x:c>
      <x:c r="E17" s="66" t="n">
        <x:v>100</x:v>
      </x:c>
      <x:c r="F17" s="66" t="n">
        <x:v>2201</x:v>
      </x:c>
      <x:c r="G17" s="68" t="n">
        <x:v>0.38</x:v>
      </x:c>
      <x:c r="H17" s="70" t="n">
        <x:v>170</x:v>
      </x:c>
      <x:c r="I17" s="70" t="n">
        <x:v>144</x:v>
      </x:c>
      <x:c r="J17" s="72" t="n">
        <x:v>0.53</x:v>
      </x:c>
      <x:c r="K17" s="70" t="n">
        <x:v>22.75</x:v>
      </x:c>
      <x:c r="L17" s="70" t="n">
        <x:v>19.5</x:v>
      </x:c>
      <x:c r="M17" s="68" t="n">
        <x:v>0.04</x:v>
      </x:c>
      <x:c r="N17" s="74" t="n">
        <x:v>5</x:v>
      </x:c>
      <x:c r="O17" s="70" t="n">
        <x:v>6120</x:v>
      </x:c>
      <x:c r="P17" s="70" t="n">
        <x:v>78000</x:v>
      </x:c>
      <x:c r="Q17" s="70" t="n">
        <x:v>29100</x:v>
      </x:c>
      <x:c r="R17" s="70" t="n">
        <x:v>13000</x:v>
      </x:c>
    </x:row>
    <x:row r="18">
      <x:c r="C18" s="60" t="str">
        <x:v>v1.0</x:v>
      </x:c>
      <x:c r="D18" s="64" t="n">
        <x:v>46327</x:v>
      </x:c>
      <x:c r="E18" s="66" t="n">
        <x:v>100</x:v>
      </x:c>
      <x:c r="F18" s="66" t="n">
        <x:v>1830</x:v>
      </x:c>
      <x:c r="G18" s="68" t="n">
        <x:v>0.34</x:v>
      </x:c>
      <x:c r="H18" s="70" t="n">
        <x:v>158</x:v>
      </x:c>
      <x:c r="I18" s="70" t="n">
        <x:v>138</x:v>
      </x:c>
      <x:c r="J18" s="72" t="n">
        <x:v>0.55</x:v>
      </x:c>
      <x:c r="K18" s="70" t="n">
        <x:v>22.75</x:v>
      </x:c>
      <x:c r="L18" s="70" t="n">
        <x:v>19</x:v>
      </x:c>
      <x:c r="M18" s="68" t="n">
        <x:v>0.04</x:v>
      </x:c>
      <x:c r="N18" s="74" t="n">
        <x:v>5</x:v>
      </x:c>
      <x:c r="O18" s="70" t="n">
        <x:v>6120</x:v>
      </x:c>
      <x:c r="P18" s="70" t="n">
        <x:v>78000</x:v>
      </x:c>
      <x:c r="Q18" s="70" t="n">
        <x:v>28700</x:v>
      </x:c>
      <x:c r="R18" s="70" t="n">
        <x:v>12000</x:v>
      </x:c>
    </x:row>
    <x:row r="19">
      <x:c r="C19" s="61" t="str">
        <x:v>v1.0</x:v>
      </x:c>
      <x:c r="D19" s="65" t="n">
        <x:v>46357</x:v>
      </x:c>
      <x:c r="E19" s="67" t="n">
        <x:v>100</x:v>
      </x:c>
      <x:c r="F19" s="67" t="n">
        <x:v>1829</x:v>
      </x:c>
      <x:c r="G19" s="69" t="n">
        <x:v>0.32</x:v>
      </x:c>
      <x:c r="H19" s="71" t="n">
        <x:v>162</x:v>
      </x:c>
      <x:c r="I19" s="71" t="n">
        <x:v>140</x:v>
      </x:c>
      <x:c r="J19" s="73" t="n">
        <x:v>0.56</x:v>
      </x:c>
      <x:c r="K19" s="71" t="n">
        <x:v>22.75</x:v>
      </x:c>
      <x:c r="L19" s="71" t="n">
        <x:v>19.2</x:v>
      </x:c>
      <x:c r="M19" s="69" t="n">
        <x:v>0.04</x:v>
      </x:c>
      <x:c r="N19" s="75" t="n">
        <x:v>5</x:v>
      </x:c>
      <x:c r="O19" s="71" t="n">
        <x:v>6120</x:v>
      </x:c>
      <x:c r="P19" s="71" t="n">
        <x:v>78000</x:v>
      </x:c>
      <x:c r="Q19" s="71" t="n">
        <x:v>29000</x:v>
      </x:c>
      <x:c r="R19" s="71" t="n">
        <x:v>16000</x:v>
      </x:c>
    </x:row>
    <x:row r="20"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28" customHeight="1">
      <x:c r="C22" s="27" t="str">
        <x:v>Input treatment</x:v>
      </x:c>
      <x:c r="D22" s="38" t="str">
        <x:v>Static approved source values; do not overwrite for forecast or scenarios.</x:v>
      </x:c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</x:row>
    <x:row r="23" ht="28" customHeight="1">
      <x:c r="C23" s="27" t="str">
        <x:v>Date convention</x:v>
      </x:c>
      <x:c r="D23" s="38" t="str">
        <x:v>Monthly period keys use the first day of each month.</x:v>
      </x:c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</x:row>
    <x:row r="24" ht="28" customHeight="1">
      <x:c r="C24" s="27" t="str">
        <x:v>Budget link</x:v>
      </x:c>
      <x:c r="D24" s="38" t="str">
        <x:v>Budget formulas match each monthly header to this table.</x:v>
      </x:c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</x:row>
    <x:row r="25" ht="28" customHeight="1">
      <x:c r="C25" s="27" t="str">
        <x:v>Formatting</x:v>
      </x:c>
      <x:c r="D25" s="38" t="str">
        <x:v>Blue font and pale-yellow fill identify approved source inputs.</x:v>
      </x:c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</x:row>
  </x:sheetData>
  <x:mergeCells>
    <x:mergeCell ref="D22:R22"/>
    <x:mergeCell ref="D23:R23"/>
    <x:mergeCell ref="D24:R24"/>
    <x:mergeCell ref="D25:R25"/>
  </x:mergeCells>
  <x:pageMargins left="0.7" right="0.7" top="0.75" bottom="0.75" header="0.3" footer="0.3"/>
  <x:tableParts count="1">
    <x:tablePart xmlns:r="http://schemas.openxmlformats.org/officeDocument/2006/relationships" r:id="R337b155e6cae477a"/>
  </x:tableParts>
</x:worksheet>
</file>

<file path=xl/worksheets/sheet4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3" max="3" width="3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7" hidden="0" customWidth="1"/>
  </x:cols>
  <x:sheetData>
    <x:row r="2" ht="25" customHeight="1">
      <x:c r="C2" s="3" t="str">
        <x:v>Approved 2026 operating budget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>
      <x:c r="C3" s="41" t="str">
        <x:v>Formula-driven build from the frozen approved assumption pack. Expenses are shown as positive values.</x:v>
      </x:c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</x:row>
    <x:row r="4"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>
      <x:c r="C5" s="79" t="str">
        <x:v>Metric</x:v>
      </x:c>
      <x:c r="D5" s="82" t="n">
        <x:v>46023</x:v>
      </x:c>
      <x:c r="E5" s="82" t="n">
        <x:v>46054</x:v>
      </x:c>
      <x:c r="F5" s="82" t="n">
        <x:v>46082</x:v>
      </x:c>
      <x:c r="G5" s="82" t="n">
        <x:v>46113</x:v>
      </x:c>
      <x:c r="H5" s="82" t="n">
        <x:v>46143</x:v>
      </x:c>
      <x:c r="I5" s="82" t="n">
        <x:v>46174</x:v>
      </x:c>
      <x:c r="J5" s="82" t="n">
        <x:v>46204</x:v>
      </x:c>
      <x:c r="K5" s="82" t="n">
        <x:v>46235</x:v>
      </x:c>
      <x:c r="L5" s="82" t="n">
        <x:v>46266</x:v>
      </x:c>
      <x:c r="M5" s="82" t="n">
        <x:v>46296</x:v>
      </x:c>
      <x:c r="N5" s="82" t="n">
        <x:v>46327</x:v>
      </x:c>
      <x:c r="O5" s="82" t="n">
        <x:v>46357</x:v>
      </x:c>
      <x:c r="P5" s="81" t="str">
        <x:v>FY2026</x:v>
      </x:c>
    </x:row>
    <x:row r="6">
      <x:c r="C6" s="83" t="str">
        <x:v>FY column uses sums for additive lines and weighted or average calculations for rates and monthly levels.</x:v>
      </x:c>
      <x:c r="D6" s="83"/>
      <x:c r="E6" s="83"/>
      <x:c r="F6" s="83"/>
      <x:c r="G6" s="83"/>
      <x:c r="H6" s="83"/>
      <x:c r="I6" s="83"/>
      <x:c r="J6" s="83"/>
      <x:c r="K6" s="83"/>
      <x:c r="L6" s="83"/>
      <x:c r="M6" s="83"/>
      <x:c r="N6" s="83"/>
      <x:c r="O6" s="83"/>
      <x:c r="P6" s="83"/>
    </x:row>
    <x:row r="7" ht="20" customHeight="1">
      <x:c r="C7" s="86" t="str">
        <x:v>Operating drivers</x:v>
      </x:c>
      <x:c r="D7" s="87"/>
      <x:c r="E7" s="87"/>
      <x:c r="F7" s="87"/>
      <x:c r="G7" s="87"/>
      <x:c r="H7" s="87"/>
      <x:c r="I7" s="87"/>
      <x:c r="J7" s="87"/>
      <x:c r="K7" s="87"/>
      <x:c r="L7" s="87"/>
      <x:c r="M7" s="87"/>
      <x:c r="N7" s="87"/>
      <x:c r="O7" s="87"/>
      <x:c r="P7" s="88"/>
    </x:row>
    <x:row r="8">
      <x:c r="C8" s="2" t="str">
        <x:v>Rooms available</x:v>
      </x:c>
      <x:c r="D8" s="110" t="n">
        <x:f>INDEX(Assumptions!$E$8:$E$19,MATCH(D$5,Assumptions!$D$8:$D$19,0))</x:f>
        <x:v>100</x:v>
      </x:c>
      <x:c r="E8" s="110" t="n">
        <x:f>INDEX(Assumptions!$E$8:$E$19,MATCH(E$5,Assumptions!$D$8:$D$19,0))</x:f>
        <x:v>100</x:v>
      </x:c>
      <x:c r="F8" s="110" t="n">
        <x:f>INDEX(Assumptions!$E$8:$E$19,MATCH(F$5,Assumptions!$D$8:$D$19,0))</x:f>
        <x:v>100</x:v>
      </x:c>
      <x:c r="G8" s="110" t="n">
        <x:f>INDEX(Assumptions!$E$8:$E$19,MATCH(G$5,Assumptions!$D$8:$D$19,0))</x:f>
        <x:v>100</x:v>
      </x:c>
      <x:c r="H8" s="110" t="n">
        <x:f>INDEX(Assumptions!$E$8:$E$19,MATCH(H$5,Assumptions!$D$8:$D$19,0))</x:f>
        <x:v>100</x:v>
      </x:c>
      <x:c r="I8" s="110" t="n">
        <x:f>INDEX(Assumptions!$E$8:$E$19,MATCH(I$5,Assumptions!$D$8:$D$19,0))</x:f>
        <x:v>100</x:v>
      </x:c>
      <x:c r="J8" s="110" t="n">
        <x:f>INDEX(Assumptions!$E$8:$E$19,MATCH(J$5,Assumptions!$D$8:$D$19,0))</x:f>
        <x:v>100</x:v>
      </x:c>
      <x:c r="K8" s="110" t="n">
        <x:f>INDEX(Assumptions!$E$8:$E$19,MATCH(K$5,Assumptions!$D$8:$D$19,0))</x:f>
        <x:v>100</x:v>
      </x:c>
      <x:c r="L8" s="110" t="n">
        <x:f>INDEX(Assumptions!$E$8:$E$19,MATCH(L$5,Assumptions!$D$8:$D$19,0))</x:f>
        <x:v>100</x:v>
      </x:c>
      <x:c r="M8" s="110" t="n">
        <x:f>INDEX(Assumptions!$E$8:$E$19,MATCH(M$5,Assumptions!$D$8:$D$19,0))</x:f>
        <x:v>100</x:v>
      </x:c>
      <x:c r="N8" s="110" t="n">
        <x:f>INDEX(Assumptions!$E$8:$E$19,MATCH(N$5,Assumptions!$D$8:$D$19,0))</x:f>
        <x:v>100</x:v>
      </x:c>
      <x:c r="O8" s="110" t="n">
        <x:f>INDEX(Assumptions!$E$8:$E$19,MATCH(O$5,Assumptions!$D$8:$D$19,0))</x:f>
        <x:v>100</x:v>
      </x:c>
      <x:c r="P8" s="91" t="n">
        <x:f>AVERAGE(D8:O8)</x:f>
        <x:v>100</x:v>
      </x:c>
    </x:row>
    <x:row r="9">
      <x:c r="C9" s="2" t="str">
        <x:v>Calendar days</x:v>
      </x:c>
      <x:c r="D9" s="91" t="n">
        <x:f>DATE(YEAR(D$5),MONTH(D$5)+1,1)-D$5</x:f>
        <x:v>31</x:v>
      </x:c>
      <x:c r="E9" s="91" t="n">
        <x:f>DATE(YEAR(E$5),MONTH(E$5)+1,1)-E$5</x:f>
        <x:v>28</x:v>
      </x:c>
      <x:c r="F9" s="91" t="n">
        <x:f>DATE(YEAR(F$5),MONTH(F$5)+1,1)-F$5</x:f>
        <x:v>31</x:v>
      </x:c>
      <x:c r="G9" s="91" t="n">
        <x:f>DATE(YEAR(G$5),MONTH(G$5)+1,1)-G$5</x:f>
        <x:v>30</x:v>
      </x:c>
      <x:c r="H9" s="91" t="n">
        <x:f>DATE(YEAR(H$5),MONTH(H$5)+1,1)-H$5</x:f>
        <x:v>31</x:v>
      </x:c>
      <x:c r="I9" s="91" t="n">
        <x:f>DATE(YEAR(I$5),MONTH(I$5)+1,1)-I$5</x:f>
        <x:v>30</x:v>
      </x:c>
      <x:c r="J9" s="91" t="n">
        <x:f>DATE(YEAR(J$5),MONTH(J$5)+1,1)-J$5</x:f>
        <x:v>31</x:v>
      </x:c>
      <x:c r="K9" s="91" t="n">
        <x:f>DATE(YEAR(K$5),MONTH(K$5)+1,1)-K$5</x:f>
        <x:v>31</x:v>
      </x:c>
      <x:c r="L9" s="91" t="n">
        <x:f>DATE(YEAR(L$5),MONTH(L$5)+1,1)-L$5</x:f>
        <x:v>30</x:v>
      </x:c>
      <x:c r="M9" s="91" t="n">
        <x:f>DATE(YEAR(M$5),MONTH(M$5)+1,1)-M$5</x:f>
        <x:v>31</x:v>
      </x:c>
      <x:c r="N9" s="91" t="n">
        <x:f>DATE(YEAR(N$5),MONTH(N$5)+1,1)-N$5</x:f>
        <x:v>30</x:v>
      </x:c>
      <x:c r="O9" s="91" t="n">
        <x:f>DATE(YEAR(O$5),MONTH(O$5)+1,1)-O$5</x:f>
        <x:v>31</x:v>
      </x:c>
      <x:c r="P9" s="91" t="n">
        <x:f>SUM(D9:O9)</x:f>
        <x:v>365</x:v>
      </x:c>
    </x:row>
    <x:row r="10">
      <x:c r="C10" s="2" t="str">
        <x:v>Available room nights</x:v>
      </x:c>
      <x:c r="D10" s="91" t="n">
        <x:f>D8*D9</x:f>
        <x:v>3100</x:v>
      </x:c>
      <x:c r="E10" s="91" t="n">
        <x:f>E8*E9</x:f>
        <x:v>2800</x:v>
      </x:c>
      <x:c r="F10" s="91" t="n">
        <x:f>F8*F9</x:f>
        <x:v>3100</x:v>
      </x:c>
      <x:c r="G10" s="91" t="n">
        <x:f>G8*G9</x:f>
        <x:v>3000</x:v>
      </x:c>
      <x:c r="H10" s="91" t="n">
        <x:f>H8*H9</x:f>
        <x:v>3100</x:v>
      </x:c>
      <x:c r="I10" s="91" t="n">
        <x:f>I8*I9</x:f>
        <x:v>3000</x:v>
      </x:c>
      <x:c r="J10" s="91" t="n">
        <x:f>J8*J9</x:f>
        <x:v>3100</x:v>
      </x:c>
      <x:c r="K10" s="91" t="n">
        <x:f>K8*K9</x:f>
        <x:v>3100</x:v>
      </x:c>
      <x:c r="L10" s="91" t="n">
        <x:f>L8*L9</x:f>
        <x:v>3000</x:v>
      </x:c>
      <x:c r="M10" s="91" t="n">
        <x:f>M8*M9</x:f>
        <x:v>3100</x:v>
      </x:c>
      <x:c r="N10" s="91" t="n">
        <x:f>N8*N9</x:f>
        <x:v>3000</x:v>
      </x:c>
      <x:c r="O10" s="91" t="n">
        <x:f>O8*O9</x:f>
        <x:v>3100</x:v>
      </x:c>
      <x:c r="P10" s="91" t="n">
        <x:f>SUM(D10:O10)</x:f>
        <x:v>36500</x:v>
      </x:c>
    </x:row>
    <x:row r="11">
      <x:c r="C11" s="2" t="str">
        <x:v>Total occupied room nights</x:v>
      </x:c>
      <x:c r="D11" s="110" t="n">
        <x:f>INDEX(Assumptions!$F$8:$F$19,MATCH(D$5,Assumptions!$D$8:$D$19,0))</x:f>
        <x:v>1705</x:v>
      </x:c>
      <x:c r="E11" s="110" t="n">
        <x:f>INDEX(Assumptions!$F$8:$F$19,MATCH(E$5,Assumptions!$D$8:$D$19,0))</x:f>
        <x:v>1624</x:v>
      </x:c>
      <x:c r="F11" s="110" t="n">
        <x:f>INDEX(Assumptions!$F$8:$F$19,MATCH(F$5,Assumptions!$D$8:$D$19,0))</x:f>
        <x:v>2015</x:v>
      </x:c>
      <x:c r="G11" s="110" t="n">
        <x:f>INDEX(Assumptions!$F$8:$F$19,MATCH(G$5,Assumptions!$D$8:$D$19,0))</x:f>
        <x:v>2100</x:v>
      </x:c>
      <x:c r="H11" s="110" t="n">
        <x:f>INDEX(Assumptions!$F$8:$F$19,MATCH(H$5,Assumptions!$D$8:$D$19,0))</x:f>
        <x:v>2294</x:v>
      </x:c>
      <x:c r="I11" s="110" t="n">
        <x:f>INDEX(Assumptions!$F$8:$F$19,MATCH(I$5,Assumptions!$D$8:$D$19,0))</x:f>
        <x:v>2340</x:v>
      </x:c>
      <x:c r="J11" s="110" t="n">
        <x:f>INDEX(Assumptions!$F$8:$F$19,MATCH(J$5,Assumptions!$D$8:$D$19,0))</x:f>
        <x:v>2604</x:v>
      </x:c>
      <x:c r="K11" s="110" t="n">
        <x:f>INDEX(Assumptions!$F$8:$F$19,MATCH(K$5,Assumptions!$D$8:$D$19,0))</x:f>
        <x:v>2542</x:v>
      </x:c>
      <x:c r="L11" s="110" t="n">
        <x:f>INDEX(Assumptions!$F$8:$F$19,MATCH(L$5,Assumptions!$D$8:$D$19,0))</x:f>
        <x:v>2190</x:v>
      </x:c>
      <x:c r="M11" s="110" t="n">
        <x:f>INDEX(Assumptions!$F$8:$F$19,MATCH(M$5,Assumptions!$D$8:$D$19,0))</x:f>
        <x:v>2201</x:v>
      </x:c>
      <x:c r="N11" s="110" t="n">
        <x:f>INDEX(Assumptions!$F$8:$F$19,MATCH(N$5,Assumptions!$D$8:$D$19,0))</x:f>
        <x:v>1830</x:v>
      </x:c>
      <x:c r="O11" s="110" t="n">
        <x:f>INDEX(Assumptions!$F$8:$F$19,MATCH(O$5,Assumptions!$D$8:$D$19,0))</x:f>
        <x:v>1829</x:v>
      </x:c>
      <x:c r="P11" s="91" t="n">
        <x:f>SUM(D11:O11)</x:f>
        <x:v>25274</x:v>
      </x:c>
    </x:row>
    <x:row r="12">
      <x:c r="C12" s="103" t="str">
        <x:v>Occupancy</x:v>
      </x:c>
      <x:c r="D12" s="104" t="n">
        <x:f>D11/D10</x:f>
        <x:v>0.55</x:v>
      </x:c>
      <x:c r="E12" s="104" t="n">
        <x:f>E11/E10</x:f>
        <x:v>0.58</x:v>
      </x:c>
      <x:c r="F12" s="104" t="n">
        <x:f>F11/F10</x:f>
        <x:v>0.65</x:v>
      </x:c>
      <x:c r="G12" s="104" t="n">
        <x:f>G11/G10</x:f>
        <x:v>0.7</x:v>
      </x:c>
      <x:c r="H12" s="104" t="n">
        <x:f>H11/H10</x:f>
        <x:v>0.74</x:v>
      </x:c>
      <x:c r="I12" s="104" t="n">
        <x:f>I11/I10</x:f>
        <x:v>0.78</x:v>
      </x:c>
      <x:c r="J12" s="104" t="n">
        <x:f>J11/J10</x:f>
        <x:v>0.84</x:v>
      </x:c>
      <x:c r="K12" s="104" t="n">
        <x:f>K11/K10</x:f>
        <x:v>0.82</x:v>
      </x:c>
      <x:c r="L12" s="104" t="n">
        <x:f>L11/L10</x:f>
        <x:v>0.73</x:v>
      </x:c>
      <x:c r="M12" s="104" t="n">
        <x:f>M11/M10</x:f>
        <x:v>0.71</x:v>
      </x:c>
      <x:c r="N12" s="104" t="n">
        <x:f>N11/N10</x:f>
        <x:v>0.61</x:v>
      </x:c>
      <x:c r="O12" s="104" t="n">
        <x:f>O11/O10</x:f>
        <x:v>0.59</x:v>
      </x:c>
      <x:c r="P12" s="104" t="n">
        <x:f>P11/P10</x:f>
        <x:v>0.6924383561643835</x:v>
      </x:c>
    </x:row>
    <x:row r="13">
      <x:c r="C13" s="103" t="str">
        <x:v>Corporate share</x:v>
      </x:c>
      <x:c r="D13" s="111" t="n">
        <x:f>INDEX(Assumptions!$G$8:$G$19,MATCH(D$5,Assumptions!$D$8:$D$19,0))</x:f>
        <x:v>0.3</x:v>
      </x:c>
      <x:c r="E13" s="111" t="n">
        <x:f>INDEX(Assumptions!$G$8:$G$19,MATCH(E$5,Assumptions!$D$8:$D$19,0))</x:f>
        <x:v>0.31</x:v>
      </x:c>
      <x:c r="F13" s="111" t="n">
        <x:f>INDEX(Assumptions!$G$8:$G$19,MATCH(F$5,Assumptions!$D$8:$D$19,0))</x:f>
        <x:v>0.32</x:v>
      </x:c>
      <x:c r="G13" s="111" t="n">
        <x:f>INDEX(Assumptions!$G$8:$G$19,MATCH(G$5,Assumptions!$D$8:$D$19,0))</x:f>
        <x:v>0.34</x:v>
      </x:c>
      <x:c r="H13" s="111" t="n">
        <x:f>INDEX(Assumptions!$G$8:$G$19,MATCH(H$5,Assumptions!$D$8:$D$19,0))</x:f>
        <x:v>0.35</x:v>
      </x:c>
      <x:c r="I13" s="111" t="n">
        <x:f>INDEX(Assumptions!$G$8:$G$19,MATCH(I$5,Assumptions!$D$8:$D$19,0))</x:f>
        <x:v>0.36</x:v>
      </x:c>
      <x:c r="J13" s="111" t="n">
        <x:f>INDEX(Assumptions!$G$8:$G$19,MATCH(J$5,Assumptions!$D$8:$D$19,0))</x:f>
        <x:v>0.38</x:v>
      </x:c>
      <x:c r="K13" s="111" t="n">
        <x:f>INDEX(Assumptions!$G$8:$G$19,MATCH(K$5,Assumptions!$D$8:$D$19,0))</x:f>
        <x:v>0.39</x:v>
      </x:c>
      <x:c r="L13" s="111" t="n">
        <x:f>INDEX(Assumptions!$G$8:$G$19,MATCH(L$5,Assumptions!$D$8:$D$19,0))</x:f>
        <x:v>0.4</x:v>
      </x:c>
      <x:c r="M13" s="111" t="n">
        <x:f>INDEX(Assumptions!$G$8:$G$19,MATCH(M$5,Assumptions!$D$8:$D$19,0))</x:f>
        <x:v>0.38</x:v>
      </x:c>
      <x:c r="N13" s="111" t="n">
        <x:f>INDEX(Assumptions!$G$8:$G$19,MATCH(N$5,Assumptions!$D$8:$D$19,0))</x:f>
        <x:v>0.34</x:v>
      </x:c>
      <x:c r="O13" s="111" t="n">
        <x:f>INDEX(Assumptions!$G$8:$G$19,MATCH(O$5,Assumptions!$D$8:$D$19,0))</x:f>
        <x:v>0.32</x:v>
      </x:c>
      <x:c r="P13" s="104" t="n">
        <x:f>P15/P11</x:f>
        <x:v>0.3529239534699692</x:v>
      </x:c>
    </x:row>
    <x:row r="14">
      <x:c r="C14" s="2" t="str">
        <x:v>Retail room nights</x:v>
      </x:c>
      <x:c r="D14" s="94" t="n">
        <x:f>D11-D15</x:f>
        <x:v>1193.5</x:v>
      </x:c>
      <x:c r="E14" s="94" t="n">
        <x:f>E11-E15</x:f>
        <x:v>1120.56</x:v>
      </x:c>
      <x:c r="F14" s="94" t="n">
        <x:f>F11-F15</x:f>
        <x:v>1370.1999999999998</x:v>
      </x:c>
      <x:c r="G14" s="94" t="n">
        <x:f>G11-G15</x:f>
        <x:v>1386</x:v>
      </x:c>
      <x:c r="H14" s="94" t="n">
        <x:f>H11-H15</x:f>
        <x:v>1491.1</x:v>
      </x:c>
      <x:c r="I14" s="94" t="n">
        <x:f>I11-I15</x:f>
        <x:v>1497.6</x:v>
      </x:c>
      <x:c r="J14" s="94" t="n">
        <x:f>J11-J15</x:f>
        <x:v>1614.48</x:v>
      </x:c>
      <x:c r="K14" s="94" t="n">
        <x:f>K11-K15</x:f>
        <x:v>1550.62</x:v>
      </x:c>
      <x:c r="L14" s="94" t="n">
        <x:f>L11-L15</x:f>
        <x:v>1314</x:v>
      </x:c>
      <x:c r="M14" s="94" t="n">
        <x:f>M11-M15</x:f>
        <x:v>1364.62</x:v>
      </x:c>
      <x:c r="N14" s="94" t="n">
        <x:f>N11-N15</x:f>
        <x:v>1207.8</x:v>
      </x:c>
      <x:c r="O14" s="94" t="n">
        <x:f>O11-O15</x:f>
        <x:v>1243.72</x:v>
      </x:c>
      <x:c r="P14" s="94" t="n">
        <x:f>SUM(D14:O14)</x:f>
        <x:v>16354.199999999999</x:v>
      </x:c>
    </x:row>
    <x:row r="15">
      <x:c r="C15" s="2" t="str">
        <x:v>Corporate room nights</x:v>
      </x:c>
      <x:c r="D15" s="94" t="n">
        <x:f>D11*D13</x:f>
        <x:v>511.5</x:v>
      </x:c>
      <x:c r="E15" s="94" t="n">
        <x:f>E11*E13</x:f>
        <x:v>503.44</x:v>
      </x:c>
      <x:c r="F15" s="94" t="n">
        <x:f>F11*F13</x:f>
        <x:v>644.8000000000001</x:v>
      </x:c>
      <x:c r="G15" s="94" t="n">
        <x:f>G11*G13</x:f>
        <x:v>714</x:v>
      </x:c>
      <x:c r="H15" s="94" t="n">
        <x:f>H11*H13</x:f>
        <x:v>802.9</x:v>
      </x:c>
      <x:c r="I15" s="94" t="n">
        <x:f>I11*I13</x:f>
        <x:v>842.4</x:v>
      </x:c>
      <x:c r="J15" s="94" t="n">
        <x:f>J11*J13</x:f>
        <x:v>989.52</x:v>
      </x:c>
      <x:c r="K15" s="94" t="n">
        <x:f>K11*K13</x:f>
        <x:v>991.38</x:v>
      </x:c>
      <x:c r="L15" s="94" t="n">
        <x:f>L11*L13</x:f>
        <x:v>876</x:v>
      </x:c>
      <x:c r="M15" s="94" t="n">
        <x:f>M11*M13</x:f>
        <x:v>836.38</x:v>
      </x:c>
      <x:c r="N15" s="94" t="n">
        <x:f>N11*N13</x:f>
        <x:v>622.2</x:v>
      </x:c>
      <x:c r="O15" s="94" t="n">
        <x:f>O11*O13</x:f>
        <x:v>585.28</x:v>
      </x:c>
      <x:c r="P15" s="94" t="n">
        <x:f>SUM(D15:O15)</x:f>
        <x:v>8919.800000000001</x:v>
      </x:c>
    </x:row>
    <x:row r="16">
      <x:c r="C16" s="2" t="str">
        <x:v>Retail ADR</x:v>
      </x:c>
      <x:c r="D16" s="112" t="n">
        <x:f>INDEX(Assumptions!$H$8:$H$19,MATCH(D$5,Assumptions!$D$8:$D$19,0))</x:f>
        <x:v>150</x:v>
      </x:c>
      <x:c r="E16" s="112" t="n">
        <x:f>INDEX(Assumptions!$H$8:$H$19,MATCH(E$5,Assumptions!$D$8:$D$19,0))</x:f>
        <x:v>152</x:v>
      </x:c>
      <x:c r="F16" s="112" t="n">
        <x:f>INDEX(Assumptions!$H$8:$H$19,MATCH(F$5,Assumptions!$D$8:$D$19,0))</x:f>
        <x:v>158</x:v>
      </x:c>
      <x:c r="G16" s="112" t="n">
        <x:f>INDEX(Assumptions!$H$8:$H$19,MATCH(G$5,Assumptions!$D$8:$D$19,0))</x:f>
        <x:v>164</x:v>
      </x:c>
      <x:c r="H16" s="112" t="n">
        <x:f>INDEX(Assumptions!$H$8:$H$19,MATCH(H$5,Assumptions!$D$8:$D$19,0))</x:f>
        <x:v>172</x:v>
      </x:c>
      <x:c r="I16" s="112" t="n">
        <x:f>INDEX(Assumptions!$H$8:$H$19,MATCH(I$5,Assumptions!$D$8:$D$19,0))</x:f>
        <x:v>180</x:v>
      </x:c>
      <x:c r="J16" s="112" t="n">
        <x:f>INDEX(Assumptions!$H$8:$H$19,MATCH(J$5,Assumptions!$D$8:$D$19,0))</x:f>
        <x:v>188</x:v>
      </x:c>
      <x:c r="K16" s="112" t="n">
        <x:f>INDEX(Assumptions!$H$8:$H$19,MATCH(K$5,Assumptions!$D$8:$D$19,0))</x:f>
        <x:v>185</x:v>
      </x:c>
      <x:c r="L16" s="112" t="n">
        <x:f>INDEX(Assumptions!$H$8:$H$19,MATCH(L$5,Assumptions!$D$8:$D$19,0))</x:f>
        <x:v>175</x:v>
      </x:c>
      <x:c r="M16" s="112" t="n">
        <x:f>INDEX(Assumptions!$H$8:$H$19,MATCH(M$5,Assumptions!$D$8:$D$19,0))</x:f>
        <x:v>170</x:v>
      </x:c>
      <x:c r="N16" s="112" t="n">
        <x:f>INDEX(Assumptions!$H$8:$H$19,MATCH(N$5,Assumptions!$D$8:$D$19,0))</x:f>
        <x:v>158</x:v>
      </x:c>
      <x:c r="O16" s="112" t="n">
        <x:f>INDEX(Assumptions!$H$8:$H$19,MATCH(O$5,Assumptions!$D$8:$D$19,0))</x:f>
        <x:v>162</x:v>
      </x:c>
      <x:c r="P16" s="96" t="n">
        <x:f>P21/P14</x:f>
        <x:v>168.99758471829867</x:v>
      </x:c>
    </x:row>
    <x:row r="17">
      <x:c r="C17" s="2" t="str">
        <x:v>Corporate ADR</x:v>
      </x:c>
      <x:c r="D17" s="112" t="n">
        <x:f>INDEX(Assumptions!$I$8:$I$19,MATCH(D$5,Assumptions!$D$8:$D$19,0))</x:f>
        <x:v>132</x:v>
      </x:c>
      <x:c r="E17" s="112" t="n">
        <x:f>INDEX(Assumptions!$I$8:$I$19,MATCH(E$5,Assumptions!$D$8:$D$19,0))</x:f>
        <x:v>133</x:v>
      </x:c>
      <x:c r="F17" s="112" t="n">
        <x:f>INDEX(Assumptions!$I$8:$I$19,MATCH(F$5,Assumptions!$D$8:$D$19,0))</x:f>
        <x:v>137</x:v>
      </x:c>
      <x:c r="G17" s="112" t="n">
        <x:f>INDEX(Assumptions!$I$8:$I$19,MATCH(G$5,Assumptions!$D$8:$D$19,0))</x:f>
        <x:v>140</x:v>
      </x:c>
      <x:c r="H17" s="112" t="n">
        <x:f>INDEX(Assumptions!$I$8:$I$19,MATCH(H$5,Assumptions!$D$8:$D$19,0))</x:f>
        <x:v>145</x:v>
      </x:c>
      <x:c r="I17" s="112" t="n">
        <x:f>INDEX(Assumptions!$I$8:$I$19,MATCH(I$5,Assumptions!$D$8:$D$19,0))</x:f>
        <x:v>148</x:v>
      </x:c>
      <x:c r="J17" s="112" t="n">
        <x:f>INDEX(Assumptions!$I$8:$I$19,MATCH(J$5,Assumptions!$D$8:$D$19,0))</x:f>
        <x:v>153</x:v>
      </x:c>
      <x:c r="K17" s="112" t="n">
        <x:f>INDEX(Assumptions!$I$8:$I$19,MATCH(K$5,Assumptions!$D$8:$D$19,0))</x:f>
        <x:v>151</x:v>
      </x:c>
      <x:c r="L17" s="112" t="n">
        <x:f>INDEX(Assumptions!$I$8:$I$19,MATCH(L$5,Assumptions!$D$8:$D$19,0))</x:f>
        <x:v>146</x:v>
      </x:c>
      <x:c r="M17" s="112" t="n">
        <x:f>INDEX(Assumptions!$I$8:$I$19,MATCH(M$5,Assumptions!$D$8:$D$19,0))</x:f>
        <x:v>144</x:v>
      </x:c>
      <x:c r="N17" s="112" t="n">
        <x:f>INDEX(Assumptions!$I$8:$I$19,MATCH(N$5,Assumptions!$D$8:$D$19,0))</x:f>
        <x:v>138</x:v>
      </x:c>
      <x:c r="O17" s="112" t="n">
        <x:f>INDEX(Assumptions!$I$8:$I$19,MATCH(O$5,Assumptions!$D$8:$D$19,0))</x:f>
        <x:v>140</x:v>
      </x:c>
      <x:c r="P17" s="96" t="n">
        <x:f>P22/P15</x:f>
        <x:v>143.62444000986568</x:v>
      </x:c>
    </x:row>
    <x:row r="18"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0" customHeight="1">
      <x:c r="C20" s="86" t="str">
        <x:v>Revenue</x:v>
      </x:c>
      <x:c r="D20" s="87"/>
      <x:c r="E20" s="87"/>
      <x:c r="F20" s="87"/>
      <x:c r="G20" s="87"/>
      <x:c r="H20" s="87"/>
      <x:c r="I20" s="87"/>
      <x:c r="J20" s="87"/>
      <x:c r="K20" s="87"/>
      <x:c r="L20" s="87"/>
      <x:c r="M20" s="87"/>
      <x:c r="N20" s="87"/>
      <x:c r="O20" s="87"/>
      <x:c r="P20" s="89"/>
    </x:row>
    <x:row r="21">
      <x:c r="C21" s="2" t="str">
        <x:v>Retail room revenue</x:v>
      </x:c>
      <x:c r="D21" s="97" t="n">
        <x:f>D14*D16</x:f>
        <x:v>179025</x:v>
      </x:c>
      <x:c r="E21" s="97" t="n">
        <x:f>E14*E16</x:f>
        <x:v>170325.12</x:v>
      </x:c>
      <x:c r="F21" s="97" t="n">
        <x:f>F14*F16</x:f>
        <x:v>216491.59999999998</x:v>
      </x:c>
      <x:c r="G21" s="97" t="n">
        <x:f>G14*G16</x:f>
        <x:v>227304</x:v>
      </x:c>
      <x:c r="H21" s="97" t="n">
        <x:f>H14*H16</x:f>
        <x:v>256469.19999999998</x:v>
      </x:c>
      <x:c r="I21" s="97" t="n">
        <x:f>I14*I16</x:f>
        <x:v>269568</x:v>
      </x:c>
      <x:c r="J21" s="97" t="n">
        <x:f>J14*J16</x:f>
        <x:v>303522.24</x:v>
      </x:c>
      <x:c r="K21" s="97" t="n">
        <x:f>K14*K16</x:f>
        <x:v>286864.69999999995</x:v>
      </x:c>
      <x:c r="L21" s="97" t="n">
        <x:f>L14*L16</x:f>
        <x:v>229950</x:v>
      </x:c>
      <x:c r="M21" s="97" t="n">
        <x:f>M14*M16</x:f>
        <x:v>231985.4</x:v>
      </x:c>
      <x:c r="N21" s="97" t="n">
        <x:f>N14*N16</x:f>
        <x:v>190832.4</x:v>
      </x:c>
      <x:c r="O21" s="97" t="n">
        <x:f>O14*O16</x:f>
        <x:v>201482.64</x:v>
      </x:c>
      <x:c r="P21" s="97" t="n">
        <x:f>SUM(D21:O21)</x:f>
        <x:v>2763820.3</x:v>
      </x:c>
    </x:row>
    <x:row r="22">
      <x:c r="C22" s="2" t="str">
        <x:v>Corporate room revenue</x:v>
      </x:c>
      <x:c r="D22" s="97" t="n">
        <x:f>D15*D17</x:f>
        <x:v>67518</x:v>
      </x:c>
      <x:c r="E22" s="97" t="n">
        <x:f>E15*E17</x:f>
        <x:v>66957.52</x:v>
      </x:c>
      <x:c r="F22" s="97" t="n">
        <x:f>F15*F17</x:f>
        <x:v>88337.6</x:v>
      </x:c>
      <x:c r="G22" s="97" t="n">
        <x:f>G15*G17</x:f>
        <x:v>99960</x:v>
      </x:c>
      <x:c r="H22" s="97" t="n">
        <x:f>H15*H17</x:f>
        <x:v>116420.5</x:v>
      </x:c>
      <x:c r="I22" s="97" t="n">
        <x:f>I15*I17</x:f>
        <x:v>124675.2</x:v>
      </x:c>
      <x:c r="J22" s="97" t="n">
        <x:f>J15*J17</x:f>
        <x:v>151396.56</x:v>
      </x:c>
      <x:c r="K22" s="97" t="n">
        <x:f>K15*K17</x:f>
        <x:v>149698.38</x:v>
      </x:c>
      <x:c r="L22" s="97" t="n">
        <x:f>L15*L17</x:f>
        <x:v>127896</x:v>
      </x:c>
      <x:c r="M22" s="97" t="n">
        <x:f>M15*M17</x:f>
        <x:v>120438.72</x:v>
      </x:c>
      <x:c r="N22" s="97" t="n">
        <x:f>N15*N17</x:f>
        <x:v>85863.6</x:v>
      </x:c>
      <x:c r="O22" s="97" t="n">
        <x:f>O15*O17</x:f>
        <x:v>81939.2</x:v>
      </x:c>
      <x:c r="P22" s="97" t="n">
        <x:f>SUM(D22:O22)</x:f>
        <x:v>1281101.28</x:v>
      </x:c>
    </x:row>
    <x:row r="23">
      <x:c r="C23" s="119" t="str">
        <x:v>Total room revenue</x:v>
      </x:c>
      <x:c r="D23" s="120" t="n">
        <x:f>SUM(D21:D22)</x:f>
        <x:v>246543</x:v>
      </x:c>
      <x:c r="E23" s="120" t="n">
        <x:f>SUM(E21:E22)</x:f>
        <x:v>237282.64</x:v>
      </x:c>
      <x:c r="F23" s="120" t="n">
        <x:f>SUM(F21:F22)</x:f>
        <x:v>304829.19999999995</x:v>
      </x:c>
      <x:c r="G23" s="120" t="n">
        <x:f>SUM(G21:G22)</x:f>
        <x:v>327264</x:v>
      </x:c>
      <x:c r="H23" s="120" t="n">
        <x:f>SUM(H21:H22)</x:f>
        <x:v>372889.69999999995</x:v>
      </x:c>
      <x:c r="I23" s="120" t="n">
        <x:f>SUM(I21:I22)</x:f>
        <x:v>394243.2</x:v>
      </x:c>
      <x:c r="J23" s="120" t="n">
        <x:f>SUM(J21:J22)</x:f>
        <x:v>454918.8</x:v>
      </x:c>
      <x:c r="K23" s="120" t="n">
        <x:f>SUM(K21:K22)</x:f>
        <x:v>436563.07999999996</x:v>
      </x:c>
      <x:c r="L23" s="120" t="n">
        <x:f>SUM(L21:L22)</x:f>
        <x:v>357846</x:v>
      </x:c>
      <x:c r="M23" s="120" t="n">
        <x:f>SUM(M21:M22)</x:f>
        <x:v>352424.12</x:v>
      </x:c>
      <x:c r="N23" s="120" t="n">
        <x:f>SUM(N21:N22)</x:f>
        <x:v>276696</x:v>
      </x:c>
      <x:c r="O23" s="120" t="n">
        <x:f>SUM(O21:O22)</x:f>
        <x:v>283421.84</x:v>
      </x:c>
      <x:c r="P23" s="120" t="n">
        <x:f>SUM(D23:O23)</x:f>
        <x:v>4044921.5799999996</x:v>
      </x:c>
    </x:row>
    <x:row r="24">
      <x:c r="C24" s="103" t="str">
        <x:v>Blended ADR</x:v>
      </x:c>
      <x:c r="D24" s="105" t="n">
        <x:f>D23/D11</x:f>
        <x:v>144.6</x:v>
      </x:c>
      <x:c r="E24" s="105" t="n">
        <x:f>E23/E11</x:f>
        <x:v>146.11</x:v>
      </x:c>
      <x:c r="F24" s="105" t="n">
        <x:f>F23/F11</x:f>
        <x:v>151.27999999999997</x:v>
      </x:c>
      <x:c r="G24" s="105" t="n">
        <x:f>G23/G11</x:f>
        <x:v>155.84</x:v>
      </x:c>
      <x:c r="H24" s="105" t="n">
        <x:f>H23/H11</x:f>
        <x:v>162.54999999999998</x:v>
      </x:c>
      <x:c r="I24" s="105" t="n">
        <x:f>I23/I11</x:f>
        <x:v>168.48000000000002</x:v>
      </x:c>
      <x:c r="J24" s="105" t="n">
        <x:f>J23/J11</x:f>
        <x:v>174.7</x:v>
      </x:c>
      <x:c r="K24" s="105" t="n">
        <x:f>K23/K11</x:f>
        <x:v>171.73999999999998</x:v>
      </x:c>
      <x:c r="L24" s="105" t="n">
        <x:f>L23/L11</x:f>
        <x:v>163.4</x:v>
      </x:c>
      <x:c r="M24" s="105" t="n">
        <x:f>M23/M11</x:f>
        <x:v>160.12</x:v>
      </x:c>
      <x:c r="N24" s="105" t="n">
        <x:f>N23/N11</x:f>
        <x:v>151.2</x:v>
      </x:c>
      <x:c r="O24" s="105" t="n">
        <x:f>O23/O11</x:f>
        <x:v>154.96</x:v>
      </x:c>
      <x:c r="P24" s="105" t="n">
        <x:f>P23/P11</x:f>
        <x:v>160.04279417583285</x:v>
      </x:c>
    </x:row>
    <x:row r="25">
      <x:c r="C25" s="103" t="str">
        <x:v>RevPAR</x:v>
      </x:c>
      <x:c r="D25" s="105" t="n">
        <x:f>D23/D10</x:f>
        <x:v>79.53</x:v>
      </x:c>
      <x:c r="E25" s="105" t="n">
        <x:f>E23/E10</x:f>
        <x:v>84.74380000000001</x:v>
      </x:c>
      <x:c r="F25" s="105" t="n">
        <x:f>F23/F10</x:f>
        <x:v>98.33199999999998</x:v>
      </x:c>
      <x:c r="G25" s="105" t="n">
        <x:f>G23/G10</x:f>
        <x:v>109.088</x:v>
      </x:c>
      <x:c r="H25" s="105" t="n">
        <x:f>H23/H10</x:f>
        <x:v>120.28699999999999</x:v>
      </x:c>
      <x:c r="I25" s="105" t="n">
        <x:f>I23/I10</x:f>
        <x:v>131.4144</x:v>
      </x:c>
      <x:c r="J25" s="105" t="n">
        <x:f>J23/J10</x:f>
        <x:v>146.748</x:v>
      </x:c>
      <x:c r="K25" s="105" t="n">
        <x:f>K23/K10</x:f>
        <x:v>140.8268</x:v>
      </x:c>
      <x:c r="L25" s="105" t="n">
        <x:f>L23/L10</x:f>
        <x:v>119.282</x:v>
      </x:c>
      <x:c r="M25" s="105" t="n">
        <x:f>M23/M10</x:f>
        <x:v>113.6852</x:v>
      </x:c>
      <x:c r="N25" s="105" t="n">
        <x:f>N23/N10</x:f>
        <x:v>92.232</x:v>
      </x:c>
      <x:c r="O25" s="105" t="n">
        <x:f>O23/O10</x:f>
        <x:v>91.42640000000002</x:v>
      </x:c>
      <x:c r="P25" s="105" t="n">
        <x:f>P23/P10</x:f>
        <x:v>110.81976931506848</x:v>
      </x:c>
    </x:row>
    <x:row r="26"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20" customHeight="1">
      <x:c r="C28" s="86" t="str">
        <x:v>Variable and operating costs</x:v>
      </x:c>
      <x:c r="D28" s="87"/>
      <x:c r="E28" s="87"/>
      <x:c r="F28" s="87"/>
      <x:c r="G28" s="87"/>
      <x:c r="H28" s="87"/>
      <x:c r="I28" s="87"/>
      <x:c r="J28" s="87"/>
      <x:c r="K28" s="87"/>
      <x:c r="L28" s="87"/>
      <x:c r="M28" s="87"/>
      <x:c r="N28" s="87"/>
      <x:c r="O28" s="87"/>
      <x:c r="P28" s="89"/>
    </x:row>
    <x:row r="29">
      <x:c r="C29" s="103" t="str">
        <x:v>Housekeeping hours per occupied room</x:v>
      </x:c>
      <x:c r="D29" s="113" t="n">
        <x:f>INDEX(Assumptions!$J$8:$J$19,MATCH(D$5,Assumptions!$D$8:$D$19,0))</x:f>
        <x:v>0.56</x:v>
      </x:c>
      <x:c r="E29" s="113" t="n">
        <x:f>INDEX(Assumptions!$J$8:$J$19,MATCH(E$5,Assumptions!$D$8:$D$19,0))</x:f>
        <x:v>0.55</x:v>
      </x:c>
      <x:c r="F29" s="113" t="n">
        <x:f>INDEX(Assumptions!$J$8:$J$19,MATCH(F$5,Assumptions!$D$8:$D$19,0))</x:f>
        <x:v>0.54</x:v>
      </x:c>
      <x:c r="G29" s="113" t="n">
        <x:f>INDEX(Assumptions!$J$8:$J$19,MATCH(G$5,Assumptions!$D$8:$D$19,0))</x:f>
        <x:v>0.53</x:v>
      </x:c>
      <x:c r="H29" s="113" t="n">
        <x:f>INDEX(Assumptions!$J$8:$J$19,MATCH(H$5,Assumptions!$D$8:$D$19,0))</x:f>
        <x:v>0.52</x:v>
      </x:c>
      <x:c r="I29" s="113" t="n">
        <x:f>INDEX(Assumptions!$J$8:$J$19,MATCH(I$5,Assumptions!$D$8:$D$19,0))</x:f>
        <x:v>0.51</x:v>
      </x:c>
      <x:c r="J29" s="113" t="n">
        <x:f>INDEX(Assumptions!$J$8:$J$19,MATCH(J$5,Assumptions!$D$8:$D$19,0))</x:f>
        <x:v>0.5</x:v>
      </x:c>
      <x:c r="K29" s="113" t="n">
        <x:f>INDEX(Assumptions!$J$8:$J$19,MATCH(K$5,Assumptions!$D$8:$D$19,0))</x:f>
        <x:v>0.5</x:v>
      </x:c>
      <x:c r="L29" s="113" t="n">
        <x:f>INDEX(Assumptions!$J$8:$J$19,MATCH(L$5,Assumptions!$D$8:$D$19,0))</x:f>
        <x:v>0.52</x:v>
      </x:c>
      <x:c r="M29" s="113" t="n">
        <x:f>INDEX(Assumptions!$J$8:$J$19,MATCH(M$5,Assumptions!$D$8:$D$19,0))</x:f>
        <x:v>0.53</x:v>
      </x:c>
      <x:c r="N29" s="113" t="n">
        <x:f>INDEX(Assumptions!$J$8:$J$19,MATCH(N$5,Assumptions!$D$8:$D$19,0))</x:f>
        <x:v>0.55</x:v>
      </x:c>
      <x:c r="O29" s="113" t="n">
        <x:f>INDEX(Assumptions!$J$8:$J$19,MATCH(O$5,Assumptions!$D$8:$D$19,0))</x:f>
        <x:v>0.56</x:v>
      </x:c>
      <x:c r="P29" s="106" t="n">
        <x:f>P31/P11</x:f>
        <x:v>0.5279912162696843</x:v>
      </x:c>
    </x:row>
    <x:row r="30">
      <x:c r="C30" s="103" t="str">
        <x:v>Loaded housekeeping wage per hour</x:v>
      </x:c>
      <x:c r="D30" s="114" t="n">
        <x:f>INDEX(Assumptions!$K$8:$K$19,MATCH(D$5,Assumptions!$D$8:$D$19,0))</x:f>
        <x:v>22</x:v>
      </x:c>
      <x:c r="E30" s="114" t="n">
        <x:f>INDEX(Assumptions!$K$8:$K$19,MATCH(E$5,Assumptions!$D$8:$D$19,0))</x:f>
        <x:v>22</x:v>
      </x:c>
      <x:c r="F30" s="114" t="n">
        <x:f>INDEX(Assumptions!$K$8:$K$19,MATCH(F$5,Assumptions!$D$8:$D$19,0))</x:f>
        <x:v>22</x:v>
      </x:c>
      <x:c r="G30" s="114" t="n">
        <x:f>INDEX(Assumptions!$K$8:$K$19,MATCH(G$5,Assumptions!$D$8:$D$19,0))</x:f>
        <x:v>22</x:v>
      </x:c>
      <x:c r="H30" s="114" t="n">
        <x:f>INDEX(Assumptions!$K$8:$K$19,MATCH(H$5,Assumptions!$D$8:$D$19,0))</x:f>
        <x:v>22</x:v>
      </x:c>
      <x:c r="I30" s="114" t="n">
        <x:f>INDEX(Assumptions!$K$8:$K$19,MATCH(I$5,Assumptions!$D$8:$D$19,0))</x:f>
        <x:v>22</x:v>
      </x:c>
      <x:c r="J30" s="114" t="n">
        <x:f>INDEX(Assumptions!$K$8:$K$19,MATCH(J$5,Assumptions!$D$8:$D$19,0))</x:f>
        <x:v>22.75</x:v>
      </x:c>
      <x:c r="K30" s="114" t="n">
        <x:f>INDEX(Assumptions!$K$8:$K$19,MATCH(K$5,Assumptions!$D$8:$D$19,0))</x:f>
        <x:v>22.75</x:v>
      </x:c>
      <x:c r="L30" s="114" t="n">
        <x:f>INDEX(Assumptions!$K$8:$K$19,MATCH(L$5,Assumptions!$D$8:$D$19,0))</x:f>
        <x:v>22.75</x:v>
      </x:c>
      <x:c r="M30" s="114" t="n">
        <x:f>INDEX(Assumptions!$K$8:$K$19,MATCH(M$5,Assumptions!$D$8:$D$19,0))</x:f>
        <x:v>22.75</x:v>
      </x:c>
      <x:c r="N30" s="114" t="n">
        <x:f>INDEX(Assumptions!$K$8:$K$19,MATCH(N$5,Assumptions!$D$8:$D$19,0))</x:f>
        <x:v>22.75</x:v>
      </x:c>
      <x:c r="O30" s="114" t="n">
        <x:f>INDEX(Assumptions!$K$8:$K$19,MATCH(O$5,Assumptions!$D$8:$D$19,0))</x:f>
        <x:v>22.75</x:v>
      </x:c>
      <x:c r="P30" s="105" t="n">
        <x:f>P32/P31</x:f>
        <x:v>22.388311432842873</x:v>
      </x:c>
    </x:row>
    <x:row r="31">
      <x:c r="C31" s="2" t="str">
        <x:v>Housekeeping hours</x:v>
      </x:c>
      <x:c r="D31" s="94" t="n">
        <x:f>D11*D29</x:f>
        <x:v>954.8000000000001</x:v>
      </x:c>
      <x:c r="E31" s="94" t="n">
        <x:f>E11*E29</x:f>
        <x:v>893.2</x:v>
      </x:c>
      <x:c r="F31" s="94" t="n">
        <x:f>F11*F29</x:f>
        <x:v>1088.1000000000001</x:v>
      </x:c>
      <x:c r="G31" s="94" t="n">
        <x:f>G11*G29</x:f>
        <x:v>1113</x:v>
      </x:c>
      <x:c r="H31" s="94" t="n">
        <x:f>H11*H29</x:f>
        <x:v>1192.88</x:v>
      </x:c>
      <x:c r="I31" s="94" t="n">
        <x:f>I11*I29</x:f>
        <x:v>1193.4</x:v>
      </x:c>
      <x:c r="J31" s="94" t="n">
        <x:f>J11*J29</x:f>
        <x:v>1302</x:v>
      </x:c>
      <x:c r="K31" s="94" t="n">
        <x:f>K11*K29</x:f>
        <x:v>1271</x:v>
      </x:c>
      <x:c r="L31" s="94" t="n">
        <x:f>L11*L29</x:f>
        <x:v>1138.8</x:v>
      </x:c>
      <x:c r="M31" s="94" t="n">
        <x:f>M11*M29</x:f>
        <x:v>1166.53</x:v>
      </x:c>
      <x:c r="N31" s="94" t="n">
        <x:f>N11*N29</x:f>
        <x:v>1006.5000000000001</x:v>
      </x:c>
      <x:c r="O31" s="94" t="n">
        <x:f>O11*O29</x:f>
        <x:v>1024.24</x:v>
      </x:c>
      <x:c r="P31" s="94" t="n">
        <x:f>SUM(D31:O31)</x:f>
        <x:v>13344.45</x:v>
      </x:c>
    </x:row>
    <x:row r="32">
      <x:c r="C32" s="2" t="str">
        <x:v>Housekeeping payroll</x:v>
      </x:c>
      <x:c r="D32" s="97" t="n">
        <x:f>D31*D30</x:f>
        <x:v>21005.600000000002</x:v>
      </x:c>
      <x:c r="E32" s="97" t="n">
        <x:f>E31*E30</x:f>
        <x:v>19650.4</x:v>
      </x:c>
      <x:c r="F32" s="97" t="n">
        <x:f>F31*F30</x:f>
        <x:v>23938.200000000004</x:v>
      </x:c>
      <x:c r="G32" s="97" t="n">
        <x:f>G31*G30</x:f>
        <x:v>24486</x:v>
      </x:c>
      <x:c r="H32" s="97" t="n">
        <x:f>H31*H30</x:f>
        <x:v>26243.36</x:v>
      </x:c>
      <x:c r="I32" s="97" t="n">
        <x:f>I31*I30</x:f>
        <x:v>26254.800000000003</x:v>
      </x:c>
      <x:c r="J32" s="97" t="n">
        <x:f>J31*J30</x:f>
        <x:v>29620.5</x:v>
      </x:c>
      <x:c r="K32" s="97" t="n">
        <x:f>K31*K30</x:f>
        <x:v>28915.25</x:v>
      </x:c>
      <x:c r="L32" s="97" t="n">
        <x:f>L31*L30</x:f>
        <x:v>25907.7</x:v>
      </x:c>
      <x:c r="M32" s="97" t="n">
        <x:f>M31*M30</x:f>
        <x:v>26538.5575</x:v>
      </x:c>
      <x:c r="N32" s="97" t="n">
        <x:f>N31*N30</x:f>
        <x:v>22897.875000000004</x:v>
      </x:c>
      <x:c r="O32" s="97" t="n">
        <x:f>O31*O30</x:f>
        <x:v>23301.46</x:v>
      </x:c>
      <x:c r="P32" s="97" t="n">
        <x:f>SUM(D32:O32)</x:f>
        <x:v>298759.7025000001</x:v>
      </x:c>
    </x:row>
    <x:row r="33">
      <x:c r="C33" s="103" t="str">
        <x:v>Guest-service cost per occupied room</x:v>
      </x:c>
      <x:c r="D33" s="114" t="n">
        <x:f>INDEX(Assumptions!$L$8:$L$19,MATCH(D$5,Assumptions!$D$8:$D$19,0))</x:f>
        <x:v>18.5</x:v>
      </x:c>
      <x:c r="E33" s="114" t="n">
        <x:f>INDEX(Assumptions!$L$8:$L$19,MATCH(E$5,Assumptions!$D$8:$D$19,0))</x:f>
        <x:v>18.7</x:v>
      </x:c>
      <x:c r="F33" s="114" t="n">
        <x:f>INDEX(Assumptions!$L$8:$L$19,MATCH(F$5,Assumptions!$D$8:$D$19,0))</x:f>
        <x:v>19</x:v>
      </x:c>
      <x:c r="G33" s="114" t="n">
        <x:f>INDEX(Assumptions!$L$8:$L$19,MATCH(G$5,Assumptions!$D$8:$D$19,0))</x:f>
        <x:v>19.2</x:v>
      </x:c>
      <x:c r="H33" s="114" t="n">
        <x:f>INDEX(Assumptions!$L$8:$L$19,MATCH(H$5,Assumptions!$D$8:$D$19,0))</x:f>
        <x:v>19.5</x:v>
      </x:c>
      <x:c r="I33" s="114" t="n">
        <x:f>INDEX(Assumptions!$L$8:$L$19,MATCH(I$5,Assumptions!$D$8:$D$19,0))</x:f>
        <x:v>19.8</x:v>
      </x:c>
      <x:c r="J33" s="114" t="n">
        <x:f>INDEX(Assumptions!$L$8:$L$19,MATCH(J$5,Assumptions!$D$8:$D$19,0))</x:f>
        <x:v>20</x:v>
      </x:c>
      <x:c r="K33" s="114" t="n">
        <x:f>INDEX(Assumptions!$L$8:$L$19,MATCH(K$5,Assumptions!$D$8:$D$19,0))</x:f>
        <x:v>20</x:v>
      </x:c>
      <x:c r="L33" s="114" t="n">
        <x:f>INDEX(Assumptions!$L$8:$L$19,MATCH(L$5,Assumptions!$D$8:$D$19,0))</x:f>
        <x:v>19.8</x:v>
      </x:c>
      <x:c r="M33" s="114" t="n">
        <x:f>INDEX(Assumptions!$L$8:$L$19,MATCH(M$5,Assumptions!$D$8:$D$19,0))</x:f>
        <x:v>19.5</x:v>
      </x:c>
      <x:c r="N33" s="114" t="n">
        <x:f>INDEX(Assumptions!$L$8:$L$19,MATCH(N$5,Assumptions!$D$8:$D$19,0))</x:f>
        <x:v>19</x:v>
      </x:c>
      <x:c r="O33" s="114" t="n">
        <x:f>INDEX(Assumptions!$L$8:$L$19,MATCH(O$5,Assumptions!$D$8:$D$19,0))</x:f>
        <x:v>19.2</x:v>
      </x:c>
      <x:c r="P33" s="105" t="n">
        <x:f>P34/P11</x:f>
        <x:v>19.414006488881853</x:v>
      </x:c>
    </x:row>
    <x:row r="34">
      <x:c r="C34" s="103" t="str">
        <x:v>Guest-service expense</x:v>
      </x:c>
      <x:c r="D34" s="107" t="n">
        <x:f>D11*D33</x:f>
        <x:v>31542.5</x:v>
      </x:c>
      <x:c r="E34" s="107" t="n">
        <x:f>E11*E33</x:f>
        <x:v>30368.8</x:v>
      </x:c>
      <x:c r="F34" s="107" t="n">
        <x:f>F11*F33</x:f>
        <x:v>38285</x:v>
      </x:c>
      <x:c r="G34" s="107" t="n">
        <x:f>G11*G33</x:f>
        <x:v>40320</x:v>
      </x:c>
      <x:c r="H34" s="107" t="n">
        <x:f>H11*H33</x:f>
        <x:v>44733</x:v>
      </x:c>
      <x:c r="I34" s="107" t="n">
        <x:f>I11*I33</x:f>
        <x:v>46332</x:v>
      </x:c>
      <x:c r="J34" s="107" t="n">
        <x:f>J11*J33</x:f>
        <x:v>52080</x:v>
      </x:c>
      <x:c r="K34" s="107" t="n">
        <x:f>K11*K33</x:f>
        <x:v>50840</x:v>
      </x:c>
      <x:c r="L34" s="107" t="n">
        <x:f>L11*L33</x:f>
        <x:v>43362</x:v>
      </x:c>
      <x:c r="M34" s="107" t="n">
        <x:f>M11*M33</x:f>
        <x:v>42919.5</x:v>
      </x:c>
      <x:c r="N34" s="107" t="n">
        <x:f>N11*N33</x:f>
        <x:v>34770</x:v>
      </x:c>
      <x:c r="O34" s="107" t="n">
        <x:f>O11*O33</x:f>
        <x:v>35116.799999999996</x:v>
      </x:c>
      <x:c r="P34" s="107" t="n">
        <x:f>SUM(D34:O34)</x:f>
        <x:v>490669.6</x:v>
      </x:c>
    </x:row>
    <x:row r="35">
      <x:c r="C35" s="103" t="str">
        <x:v>Distribution fee rate</x:v>
      </x:c>
      <x:c r="D35" s="111" t="n">
        <x:f>INDEX(Assumptions!$M$8:$M$19,MATCH(D$5,Assumptions!$D$8:$D$19,0))</x:f>
        <x:v>0.04</x:v>
      </x:c>
      <x:c r="E35" s="111" t="n">
        <x:f>INDEX(Assumptions!$M$8:$M$19,MATCH(E$5,Assumptions!$D$8:$D$19,0))</x:f>
        <x:v>0.04</x:v>
      </x:c>
      <x:c r="F35" s="111" t="n">
        <x:f>INDEX(Assumptions!$M$8:$M$19,MATCH(F$5,Assumptions!$D$8:$D$19,0))</x:f>
        <x:v>0.04</x:v>
      </x:c>
      <x:c r="G35" s="111" t="n">
        <x:f>INDEX(Assumptions!$M$8:$M$19,MATCH(G$5,Assumptions!$D$8:$D$19,0))</x:f>
        <x:v>0.04</x:v>
      </x:c>
      <x:c r="H35" s="111" t="n">
        <x:f>INDEX(Assumptions!$M$8:$M$19,MATCH(H$5,Assumptions!$D$8:$D$19,0))</x:f>
        <x:v>0.04</x:v>
      </x:c>
      <x:c r="I35" s="111" t="n">
        <x:f>INDEX(Assumptions!$M$8:$M$19,MATCH(I$5,Assumptions!$D$8:$D$19,0))</x:f>
        <x:v>0.04</x:v>
      </x:c>
      <x:c r="J35" s="111" t="n">
        <x:f>INDEX(Assumptions!$M$8:$M$19,MATCH(J$5,Assumptions!$D$8:$D$19,0))</x:f>
        <x:v>0.04</x:v>
      </x:c>
      <x:c r="K35" s="111" t="n">
        <x:f>INDEX(Assumptions!$M$8:$M$19,MATCH(K$5,Assumptions!$D$8:$D$19,0))</x:f>
        <x:v>0.04</x:v>
      </x:c>
      <x:c r="L35" s="111" t="n">
        <x:f>INDEX(Assumptions!$M$8:$M$19,MATCH(L$5,Assumptions!$D$8:$D$19,0))</x:f>
        <x:v>0.04</x:v>
      </x:c>
      <x:c r="M35" s="111" t="n">
        <x:f>INDEX(Assumptions!$M$8:$M$19,MATCH(M$5,Assumptions!$D$8:$D$19,0))</x:f>
        <x:v>0.04</x:v>
      </x:c>
      <x:c r="N35" s="111" t="n">
        <x:f>INDEX(Assumptions!$M$8:$M$19,MATCH(N$5,Assumptions!$D$8:$D$19,0))</x:f>
        <x:v>0.04</x:v>
      </x:c>
      <x:c r="O35" s="111" t="n">
        <x:f>INDEX(Assumptions!$M$8:$M$19,MATCH(O$5,Assumptions!$D$8:$D$19,0))</x:f>
        <x:v>0.04</x:v>
      </x:c>
      <x:c r="P35" s="104" t="n">
        <x:f>P36/P23</x:f>
        <x:v>0.039999999999999994</x:v>
      </x:c>
    </x:row>
    <x:row r="36">
      <x:c r="C36" s="2" t="str">
        <x:v>Distribution and payment expense</x:v>
      </x:c>
      <x:c r="D36" s="97" t="n">
        <x:f>D23*D35</x:f>
        <x:v>9861.72</x:v>
      </x:c>
      <x:c r="E36" s="97" t="n">
        <x:f>E23*E35</x:f>
        <x:v>9491.305600000002</x:v>
      </x:c>
      <x:c r="F36" s="97" t="n">
        <x:f>F23*F35</x:f>
        <x:v>12193.167999999998</x:v>
      </x:c>
      <x:c r="G36" s="97" t="n">
        <x:f>G23*G35</x:f>
        <x:v>13090.56</x:v>
      </x:c>
      <x:c r="H36" s="97" t="n">
        <x:f>H23*H35</x:f>
        <x:v>14915.587999999998</x:v>
      </x:c>
      <x:c r="I36" s="97" t="n">
        <x:f>I23*I35</x:f>
        <x:v>15769.728000000001</x:v>
      </x:c>
      <x:c r="J36" s="97" t="n">
        <x:f>J23*J35</x:f>
        <x:v>18196.752</x:v>
      </x:c>
      <x:c r="K36" s="97" t="n">
        <x:f>K23*K35</x:f>
        <x:v>17462.5232</x:v>
      </x:c>
      <x:c r="L36" s="97" t="n">
        <x:f>L23*L35</x:f>
        <x:v>14313.84</x:v>
      </x:c>
      <x:c r="M36" s="97" t="n">
        <x:f>M23*M35</x:f>
        <x:v>14096.9648</x:v>
      </x:c>
      <x:c r="N36" s="97" t="n">
        <x:f>N23*N35</x:f>
        <x:v>11067.84</x:v>
      </x:c>
      <x:c r="O36" s="97" t="n">
        <x:f>O23*O35</x:f>
        <x:v>11336.8736</x:v>
      </x:c>
      <x:c r="P36" s="97" t="n">
        <x:f>SUM(D36:O36)</x:f>
        <x:v>161796.86319999996</x:v>
      </x:c>
    </x:row>
    <x:row r="37"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20" customHeight="1">
      <x:c r="C39" s="86" t="str">
        <x:v>Fixed costs</x:v>
      </x:c>
      <x:c r="D39" s="87"/>
      <x:c r="E39" s="87"/>
      <x:c r="F39" s="87"/>
      <x:c r="G39" s="87"/>
      <x:c r="H39" s="87"/>
      <x:c r="I39" s="87"/>
      <x:c r="J39" s="87"/>
      <x:c r="K39" s="87"/>
      <x:c r="L39" s="87"/>
      <x:c r="M39" s="87"/>
      <x:c r="N39" s="87"/>
      <x:c r="O39" s="87"/>
      <x:c r="P39" s="89"/>
    </x:row>
    <x:row r="40">
      <x:c r="C40" s="2" t="str">
        <x:v>Fixed staff FTE</x:v>
      </x:c>
      <x:c r="D40" s="115" t="n">
        <x:f>INDEX(Assumptions!$N$8:$N$19,MATCH(D$5,Assumptions!$D$8:$D$19,0))</x:f>
        <x:v>5</x:v>
      </x:c>
      <x:c r="E40" s="115" t="n">
        <x:f>INDEX(Assumptions!$N$8:$N$19,MATCH(E$5,Assumptions!$D$8:$D$19,0))</x:f>
        <x:v>5</x:v>
      </x:c>
      <x:c r="F40" s="115" t="n">
        <x:f>INDEX(Assumptions!$N$8:$N$19,MATCH(F$5,Assumptions!$D$8:$D$19,0))</x:f>
        <x:v>5</x:v>
      </x:c>
      <x:c r="G40" s="115" t="n">
        <x:f>INDEX(Assumptions!$N$8:$N$19,MATCH(G$5,Assumptions!$D$8:$D$19,0))</x:f>
        <x:v>5</x:v>
      </x:c>
      <x:c r="H40" s="115" t="n">
        <x:f>INDEX(Assumptions!$N$8:$N$19,MATCH(H$5,Assumptions!$D$8:$D$19,0))</x:f>
        <x:v>5</x:v>
      </x:c>
      <x:c r="I40" s="115" t="n">
        <x:f>INDEX(Assumptions!$N$8:$N$19,MATCH(I$5,Assumptions!$D$8:$D$19,0))</x:f>
        <x:v>5</x:v>
      </x:c>
      <x:c r="J40" s="115" t="n">
        <x:f>INDEX(Assumptions!$N$8:$N$19,MATCH(J$5,Assumptions!$D$8:$D$19,0))</x:f>
        <x:v>5</x:v>
      </x:c>
      <x:c r="K40" s="115" t="n">
        <x:f>INDEX(Assumptions!$N$8:$N$19,MATCH(K$5,Assumptions!$D$8:$D$19,0))</x:f>
        <x:v>5</x:v>
      </x:c>
      <x:c r="L40" s="115" t="n">
        <x:f>INDEX(Assumptions!$N$8:$N$19,MATCH(L$5,Assumptions!$D$8:$D$19,0))</x:f>
        <x:v>5</x:v>
      </x:c>
      <x:c r="M40" s="115" t="n">
        <x:f>INDEX(Assumptions!$N$8:$N$19,MATCH(M$5,Assumptions!$D$8:$D$19,0))</x:f>
        <x:v>5</x:v>
      </x:c>
      <x:c r="N40" s="115" t="n">
        <x:f>INDEX(Assumptions!$N$8:$N$19,MATCH(N$5,Assumptions!$D$8:$D$19,0))</x:f>
        <x:v>5</x:v>
      </x:c>
      <x:c r="O40" s="115" t="n">
        <x:f>INDEX(Assumptions!$N$8:$N$19,MATCH(O$5,Assumptions!$D$8:$D$19,0))</x:f>
        <x:v>5</x:v>
      </x:c>
      <x:c r="P40" s="102" t="n">
        <x:f>AVERAGE(D40:O40)</x:f>
        <x:v>5</x:v>
      </x:c>
    </x:row>
    <x:row r="41">
      <x:c r="C41" s="2" t="str">
        <x:v>Fixed staff loaded cost per FTE</x:v>
      </x:c>
      <x:c r="D41" s="116" t="n">
        <x:f>INDEX(Assumptions!$O$8:$O$19,MATCH(D$5,Assumptions!$D$8:$D$19,0))</x:f>
        <x:v>6000</x:v>
      </x:c>
      <x:c r="E41" s="116" t="n">
        <x:f>INDEX(Assumptions!$O$8:$O$19,MATCH(E$5,Assumptions!$D$8:$D$19,0))</x:f>
        <x:v>6000</x:v>
      </x:c>
      <x:c r="F41" s="116" t="n">
        <x:f>INDEX(Assumptions!$O$8:$O$19,MATCH(F$5,Assumptions!$D$8:$D$19,0))</x:f>
        <x:v>6000</x:v>
      </x:c>
      <x:c r="G41" s="116" t="n">
        <x:f>INDEX(Assumptions!$O$8:$O$19,MATCH(G$5,Assumptions!$D$8:$D$19,0))</x:f>
        <x:v>6000</x:v>
      </x:c>
      <x:c r="H41" s="116" t="n">
        <x:f>INDEX(Assumptions!$O$8:$O$19,MATCH(H$5,Assumptions!$D$8:$D$19,0))</x:f>
        <x:v>6000</x:v>
      </x:c>
      <x:c r="I41" s="116" t="n">
        <x:f>INDEX(Assumptions!$O$8:$O$19,MATCH(I$5,Assumptions!$D$8:$D$19,0))</x:f>
        <x:v>6000</x:v>
      </x:c>
      <x:c r="J41" s="116" t="n">
        <x:f>INDEX(Assumptions!$O$8:$O$19,MATCH(J$5,Assumptions!$D$8:$D$19,0))</x:f>
        <x:v>6120</x:v>
      </x:c>
      <x:c r="K41" s="116" t="n">
        <x:f>INDEX(Assumptions!$O$8:$O$19,MATCH(K$5,Assumptions!$D$8:$D$19,0))</x:f>
        <x:v>6120</x:v>
      </x:c>
      <x:c r="L41" s="116" t="n">
        <x:f>INDEX(Assumptions!$O$8:$O$19,MATCH(L$5,Assumptions!$D$8:$D$19,0))</x:f>
        <x:v>6120</x:v>
      </x:c>
      <x:c r="M41" s="116" t="n">
        <x:f>INDEX(Assumptions!$O$8:$O$19,MATCH(M$5,Assumptions!$D$8:$D$19,0))</x:f>
        <x:v>6120</x:v>
      </x:c>
      <x:c r="N41" s="116" t="n">
        <x:f>INDEX(Assumptions!$O$8:$O$19,MATCH(N$5,Assumptions!$D$8:$D$19,0))</x:f>
        <x:v>6120</x:v>
      </x:c>
      <x:c r="O41" s="116" t="n">
        <x:f>INDEX(Assumptions!$O$8:$O$19,MATCH(O$5,Assumptions!$D$8:$D$19,0))</x:f>
        <x:v>6120</x:v>
      </x:c>
      <x:c r="P41" s="97" t="n">
        <x:f>P42/SUM(D40:O40)</x:f>
        <x:v>6060</x:v>
      </x:c>
    </x:row>
    <x:row r="42">
      <x:c r="C42" s="2" t="str">
        <x:v>Fixed staff payroll</x:v>
      </x:c>
      <x:c r="D42" s="97" t="n">
        <x:f>D40*D41</x:f>
        <x:v>30000</x:v>
      </x:c>
      <x:c r="E42" s="97" t="n">
        <x:f>E40*E41</x:f>
        <x:v>30000</x:v>
      </x:c>
      <x:c r="F42" s="97" t="n">
        <x:f>F40*F41</x:f>
        <x:v>30000</x:v>
      </x:c>
      <x:c r="G42" s="97" t="n">
        <x:f>G40*G41</x:f>
        <x:v>30000</x:v>
      </x:c>
      <x:c r="H42" s="97" t="n">
        <x:f>H40*H41</x:f>
        <x:v>30000</x:v>
      </x:c>
      <x:c r="I42" s="97" t="n">
        <x:f>I40*I41</x:f>
        <x:v>30000</x:v>
      </x:c>
      <x:c r="J42" s="97" t="n">
        <x:f>J40*J41</x:f>
        <x:v>30600</x:v>
      </x:c>
      <x:c r="K42" s="97" t="n">
        <x:f>K40*K41</x:f>
        <x:v>30600</x:v>
      </x:c>
      <x:c r="L42" s="97" t="n">
        <x:f>L40*L41</x:f>
        <x:v>30600</x:v>
      </x:c>
      <x:c r="M42" s="97" t="n">
        <x:f>M40*M41</x:f>
        <x:v>30600</x:v>
      </x:c>
      <x:c r="N42" s="97" t="n">
        <x:f>N40*N41</x:f>
        <x:v>30600</x:v>
      </x:c>
      <x:c r="O42" s="97" t="n">
        <x:f>O40*O41</x:f>
        <x:v>30600</x:v>
      </x:c>
      <x:c r="P42" s="97" t="n">
        <x:f>SUM(D42:O42)</x:f>
        <x:v>363600</x:v>
      </x:c>
    </x:row>
    <x:row r="43">
      <x:c r="C43" s="2" t="str">
        <x:v>Rent</x:v>
      </x:c>
      <x:c r="D43" s="116" t="n">
        <x:f>INDEX(Assumptions!$P$8:$P$19,MATCH(D$5,Assumptions!$D$8:$D$19,0))</x:f>
        <x:v>78000</x:v>
      </x:c>
      <x:c r="E43" s="116" t="n">
        <x:f>INDEX(Assumptions!$P$8:$P$19,MATCH(E$5,Assumptions!$D$8:$D$19,0))</x:f>
        <x:v>78000</x:v>
      </x:c>
      <x:c r="F43" s="116" t="n">
        <x:f>INDEX(Assumptions!$P$8:$P$19,MATCH(F$5,Assumptions!$D$8:$D$19,0))</x:f>
        <x:v>78000</x:v>
      </x:c>
      <x:c r="G43" s="116" t="n">
        <x:f>INDEX(Assumptions!$P$8:$P$19,MATCH(G$5,Assumptions!$D$8:$D$19,0))</x:f>
        <x:v>78000</x:v>
      </x:c>
      <x:c r="H43" s="116" t="n">
        <x:f>INDEX(Assumptions!$P$8:$P$19,MATCH(H$5,Assumptions!$D$8:$D$19,0))</x:f>
        <x:v>78000</x:v>
      </x:c>
      <x:c r="I43" s="116" t="n">
        <x:f>INDEX(Assumptions!$P$8:$P$19,MATCH(I$5,Assumptions!$D$8:$D$19,0))</x:f>
        <x:v>78000</x:v>
      </x:c>
      <x:c r="J43" s="116" t="n">
        <x:f>INDEX(Assumptions!$P$8:$P$19,MATCH(J$5,Assumptions!$D$8:$D$19,0))</x:f>
        <x:v>78000</x:v>
      </x:c>
      <x:c r="K43" s="116" t="n">
        <x:f>INDEX(Assumptions!$P$8:$P$19,MATCH(K$5,Assumptions!$D$8:$D$19,0))</x:f>
        <x:v>78000</x:v>
      </x:c>
      <x:c r="L43" s="116" t="n">
        <x:f>INDEX(Assumptions!$P$8:$P$19,MATCH(L$5,Assumptions!$D$8:$D$19,0))</x:f>
        <x:v>78000</x:v>
      </x:c>
      <x:c r="M43" s="116" t="n">
        <x:f>INDEX(Assumptions!$P$8:$P$19,MATCH(M$5,Assumptions!$D$8:$D$19,0))</x:f>
        <x:v>78000</x:v>
      </x:c>
      <x:c r="N43" s="116" t="n">
        <x:f>INDEX(Assumptions!$P$8:$P$19,MATCH(N$5,Assumptions!$D$8:$D$19,0))</x:f>
        <x:v>78000</x:v>
      </x:c>
      <x:c r="O43" s="116" t="n">
        <x:f>INDEX(Assumptions!$P$8:$P$19,MATCH(O$5,Assumptions!$D$8:$D$19,0))</x:f>
        <x:v>78000</x:v>
      </x:c>
      <x:c r="P43" s="97" t="n">
        <x:f>SUM(D43:O43)</x:f>
        <x:v>936000</x:v>
      </x:c>
    </x:row>
    <x:row r="44">
      <x:c r="C44" s="2" t="str">
        <x:v>Property overhead</x:v>
      </x:c>
      <x:c r="D44" s="116" t="n">
        <x:f>INDEX(Assumptions!$Q$8:$Q$19,MATCH(D$5,Assumptions!$D$8:$D$19,0))</x:f>
        <x:v>28000</x:v>
      </x:c>
      <x:c r="E44" s="116" t="n">
        <x:f>INDEX(Assumptions!$Q$8:$Q$19,MATCH(E$5,Assumptions!$D$8:$D$19,0))</x:f>
        <x:v>28100</x:v>
      </x:c>
      <x:c r="F44" s="116" t="n">
        <x:f>INDEX(Assumptions!$Q$8:$Q$19,MATCH(F$5,Assumptions!$D$8:$D$19,0))</x:f>
        <x:v>28500</x:v>
      </x:c>
      <x:c r="G44" s="116" t="n">
        <x:f>INDEX(Assumptions!$Q$8:$Q$19,MATCH(G$5,Assumptions!$D$8:$D$19,0))</x:f>
        <x:v>28600</x:v>
      </x:c>
      <x:c r="H44" s="116" t="n">
        <x:f>INDEX(Assumptions!$Q$8:$Q$19,MATCH(H$5,Assumptions!$D$8:$D$19,0))</x:f>
        <x:v>28900</x:v>
      </x:c>
      <x:c r="I44" s="116" t="n">
        <x:f>INDEX(Assumptions!$Q$8:$Q$19,MATCH(I$5,Assumptions!$D$8:$D$19,0))</x:f>
        <x:v>29200</x:v>
      </x:c>
      <x:c r="J44" s="116" t="n">
        <x:f>INDEX(Assumptions!$Q$8:$Q$19,MATCH(J$5,Assumptions!$D$8:$D$19,0))</x:f>
        <x:v>29800</x:v>
      </x:c>
      <x:c r="K44" s="116" t="n">
        <x:f>INDEX(Assumptions!$Q$8:$Q$19,MATCH(K$5,Assumptions!$D$8:$D$19,0))</x:f>
        <x:v>30000</x:v>
      </x:c>
      <x:c r="L44" s="116" t="n">
        <x:f>INDEX(Assumptions!$Q$8:$Q$19,MATCH(L$5,Assumptions!$D$8:$D$19,0))</x:f>
        <x:v>29400</x:v>
      </x:c>
      <x:c r="M44" s="116" t="n">
        <x:f>INDEX(Assumptions!$Q$8:$Q$19,MATCH(M$5,Assumptions!$D$8:$D$19,0))</x:f>
        <x:v>29100</x:v>
      </x:c>
      <x:c r="N44" s="116" t="n">
        <x:f>INDEX(Assumptions!$Q$8:$Q$19,MATCH(N$5,Assumptions!$D$8:$D$19,0))</x:f>
        <x:v>28700</x:v>
      </x:c>
      <x:c r="O44" s="116" t="n">
        <x:f>INDEX(Assumptions!$Q$8:$Q$19,MATCH(O$5,Assumptions!$D$8:$D$19,0))</x:f>
        <x:v>29000</x:v>
      </x:c>
      <x:c r="P44" s="97" t="n">
        <x:f>SUM(D44:O44)</x:f>
        <x:v>347300</x:v>
      </x:c>
    </x:row>
    <x:row r="45">
      <x:c r="C45" s="2" t="str">
        <x:v>Marketing</x:v>
      </x:c>
      <x:c r="D45" s="116" t="n">
        <x:f>INDEX(Assumptions!$R$8:$R$19,MATCH(D$5,Assumptions!$D$8:$D$19,0))</x:f>
        <x:v>10000</x:v>
      </x:c>
      <x:c r="E45" s="116" t="n">
        <x:f>INDEX(Assumptions!$R$8:$R$19,MATCH(E$5,Assumptions!$D$8:$D$19,0))</x:f>
        <x:v>9000</x:v>
      </x:c>
      <x:c r="F45" s="116" t="n">
        <x:f>INDEX(Assumptions!$R$8:$R$19,MATCH(F$5,Assumptions!$D$8:$D$19,0))</x:f>
        <x:v>11000</x:v>
      </x:c>
      <x:c r="G45" s="116" t="n">
        <x:f>INDEX(Assumptions!$R$8:$R$19,MATCH(G$5,Assumptions!$D$8:$D$19,0))</x:f>
        <x:v>13000</x:v>
      </x:c>
      <x:c r="H45" s="116" t="n">
        <x:f>INDEX(Assumptions!$R$8:$R$19,MATCH(H$5,Assumptions!$D$8:$D$19,0))</x:f>
        <x:v>14000</x:v>
      </x:c>
      <x:c r="I45" s="116" t="n">
        <x:f>INDEX(Assumptions!$R$8:$R$19,MATCH(I$5,Assumptions!$D$8:$D$19,0))</x:f>
        <x:v>24000</x:v>
      </x:c>
      <x:c r="J45" s="116" t="n">
        <x:f>INDEX(Assumptions!$R$8:$R$19,MATCH(J$5,Assumptions!$D$8:$D$19,0))</x:f>
        <x:v>18000</x:v>
      </x:c>
      <x:c r="K45" s="116" t="n">
        <x:f>INDEX(Assumptions!$R$8:$R$19,MATCH(K$5,Assumptions!$D$8:$D$19,0))</x:f>
        <x:v>15000</x:v>
      </x:c>
      <x:c r="L45" s="116" t="n">
        <x:f>INDEX(Assumptions!$R$8:$R$19,MATCH(L$5,Assumptions!$D$8:$D$19,0))</x:f>
        <x:v>12000</x:v>
      </x:c>
      <x:c r="M45" s="116" t="n">
        <x:f>INDEX(Assumptions!$R$8:$R$19,MATCH(M$5,Assumptions!$D$8:$D$19,0))</x:f>
        <x:v>13000</x:v>
      </x:c>
      <x:c r="N45" s="116" t="n">
        <x:f>INDEX(Assumptions!$R$8:$R$19,MATCH(N$5,Assumptions!$D$8:$D$19,0))</x:f>
        <x:v>12000</x:v>
      </x:c>
      <x:c r="O45" s="116" t="n">
        <x:f>INDEX(Assumptions!$R$8:$R$19,MATCH(O$5,Assumptions!$D$8:$D$19,0))</x:f>
        <x:v>16000</x:v>
      </x:c>
      <x:c r="P45" s="97" t="n">
        <x:f>SUM(D45:O45)</x:f>
        <x:v>167000</x:v>
      </x:c>
    </x:row>
    <x:row r="46"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0" customHeight="1">
      <x:c r="C48" s="86" t="str">
        <x:v>Profitability</x:v>
      </x:c>
      <x:c r="D48" s="87"/>
      <x:c r="E48" s="87"/>
      <x:c r="F48" s="87"/>
      <x:c r="G48" s="87"/>
      <x:c r="H48" s="87"/>
      <x:c r="I48" s="87"/>
      <x:c r="J48" s="87"/>
      <x:c r="K48" s="87"/>
      <x:c r="L48" s="87"/>
      <x:c r="M48" s="87"/>
      <x:c r="N48" s="87"/>
      <x:c r="O48" s="87"/>
      <x:c r="P48" s="89"/>
    </x:row>
    <x:row r="49">
      <x:c r="C49" s="119" t="str">
        <x:v>Total operating costs</x:v>
      </x:c>
      <x:c r="D49" s="120" t="n">
        <x:f>SUM(D32,D34,D36,D42:D45)</x:f>
        <x:v>208409.82</x:v>
      </x:c>
      <x:c r="E49" s="120" t="n">
        <x:f>SUM(E32,E34,E36,E42:E45)</x:f>
        <x:v>204610.5056</x:v>
      </x:c>
      <x:c r="F49" s="120" t="n">
        <x:f>SUM(F32,F34,F36,F42:F45)</x:f>
        <x:v>221916.36800000002</x:v>
      </x:c>
      <x:c r="G49" s="120" t="n">
        <x:f>SUM(G32,G34,G36,G42:G45)</x:f>
        <x:v>227496.56</x:v>
      </x:c>
      <x:c r="H49" s="120" t="n">
        <x:f>SUM(H32,H34,H36,H42:H45)</x:f>
        <x:v>236791.948</x:v>
      </x:c>
      <x:c r="I49" s="120" t="n">
        <x:f>SUM(I32,I34,I36,I42:I45)</x:f>
        <x:v>249556.528</x:v>
      </x:c>
      <x:c r="J49" s="120" t="n">
        <x:f>SUM(J32,J34,J36,J42:J45)</x:f>
        <x:v>256297.252</x:v>
      </x:c>
      <x:c r="K49" s="120" t="n">
        <x:f>SUM(K32,K34,K36,K42:K45)</x:f>
        <x:v>250817.7732</x:v>
      </x:c>
      <x:c r="L49" s="120" t="n">
        <x:f>SUM(L32,L34,L36,L42:L45)</x:f>
        <x:v>233583.53999999998</x:v>
      </x:c>
      <x:c r="M49" s="120" t="n">
        <x:f>SUM(M32,M34,M36,M42:M45)</x:f>
        <x:v>234255.0223</x:v>
      </x:c>
      <x:c r="N49" s="120" t="n">
        <x:f>SUM(N32,N34,N36,N42:N45)</x:f>
        <x:v>218035.715</x:v>
      </x:c>
      <x:c r="O49" s="120" t="n">
        <x:f>SUM(O32,O34,O36,O42:O45)</x:f>
        <x:v>223355.1336</x:v>
      </x:c>
      <x:c r="P49" s="120" t="n">
        <x:f>SUM(D49:O49)</x:f>
        <x:v>2765126.1657</x:v>
      </x:c>
    </x:row>
    <x:row r="50">
      <x:c r="C50" s="121" t="str">
        <x:v>Property operating contribution</x:v>
      </x:c>
      <x:c r="D50" s="122" t="n">
        <x:f>D23-D49</x:f>
        <x:v>38133.17999999999</x:v>
      </x:c>
      <x:c r="E50" s="122" t="n">
        <x:f>E23-E49</x:f>
        <x:v>32672.13440000001</x:v>
      </x:c>
      <x:c r="F50" s="122" t="n">
        <x:f>F23-F49</x:f>
        <x:v>82912.83199999994</x:v>
      </x:c>
      <x:c r="G50" s="122" t="n">
        <x:f>G23-G49</x:f>
        <x:v>99767.44</x:v>
      </x:c>
      <x:c r="H50" s="122" t="n">
        <x:f>H23-H49</x:f>
        <x:v>136097.75199999995</x:v>
      </x:c>
      <x:c r="I50" s="122" t="n">
        <x:f>I23-I49</x:f>
        <x:v>144686.67200000002</x:v>
      </x:c>
      <x:c r="J50" s="122" t="n">
        <x:f>J23-J49</x:f>
        <x:v>198621.54799999998</x:v>
      </x:c>
      <x:c r="K50" s="122" t="n">
        <x:f>K23-K49</x:f>
        <x:v>185745.30679999996</x:v>
      </x:c>
      <x:c r="L50" s="122" t="n">
        <x:f>L23-L49</x:f>
        <x:v>124262.46000000002</x:v>
      </x:c>
      <x:c r="M50" s="122" t="n">
        <x:f>M23-M49</x:f>
        <x:v>118169.09769999998</x:v>
      </x:c>
      <x:c r="N50" s="122" t="n">
        <x:f>N23-N49</x:f>
        <x:v>58660.285</x:v>
      </x:c>
      <x:c r="O50" s="122" t="n">
        <x:f>O23-O49</x:f>
        <x:v>60066.706400000025</x:v>
      </x:c>
      <x:c r="P50" s="122" t="n">
        <x:f>SUM(D50:O50)</x:f>
        <x:v>1279795.4142999998</x:v>
      </x:c>
    </x:row>
    <x:row r="51">
      <x:c r="C51" s="108" t="str">
        <x:v>Contribution margin</x:v>
      </x:c>
      <x:c r="D51" s="109" t="n">
        <x:f>D50/D23</x:f>
        <x:v>0.15467151774741117</x:v>
      </x:c>
      <x:c r="E51" s="109" t="n">
        <x:f>E50/E23</x:f>
        <x:v>0.13769289822466577</x:v>
      </x:c>
      <x:c r="F51" s="109" t="n">
        <x:f>F50/F23</x:f>
        <x:v>0.27199766951460014</x:v>
      </x:c>
      <x:c r="G51" s="109" t="n">
        <x:f>G50/G23</x:f>
        <x:v>0.3048530849711548</x:v>
      </x:c>
      <x:c r="H51" s="109" t="n">
        <x:f>H50/H23</x:f>
        <x:v>0.3649812585330192</x:v>
      </x:c>
      <x:c r="I51" s="109" t="n">
        <x:f>I50/I23</x:f>
        <x:v>0.36699852273926353</x:v>
      </x:c>
      <x:c r="J51" s="109" t="n">
        <x:f>J50/J23</x:f>
        <x:v>0.4366087926021083</x:v>
      </x:c>
      <x:c r="K51" s="109" t="n">
        <x:f>K50/K23</x:f>
        <x:v>0.42547186262292264</x:v>
      </x:c>
      <x:c r="L51" s="109" t="n">
        <x:f>L50/L23</x:f>
        <x:v>0.34725121979846085</x:v>
      </x:c>
      <x:c r="M51" s="109" t="n">
        <x:f>M50/M23</x:f>
        <x:v>0.3353036611115039</x:v>
      </x:c>
      <x:c r="N51" s="109" t="n">
        <x:f>N50/N23</x:f>
        <x:v>0.21200264911672018</x:v>
      </x:c>
      <x:c r="O51" s="109" t="n">
        <x:f>O50/O23</x:f>
        <x:v>0.2119339370600375</x:v>
      </x:c>
      <x:c r="P51" s="109" t="n">
        <x:f>P50/P23</x:f>
        <x:v>0.3163956059439847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BFBFBF"/>
  </x:sheetPr>
  <x:sheetViews>
    <x:sheetView showGridLines="0" workbookViewId="0"/>
  </x:sheetViews>
  <x:sheetFormatPr defaultRowHeight="15"/>
  <x:cols>
    <x:col min="3" max="3" width="1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2" ht="25" customHeight="1">
      <x:c r="C2" s="3" t="str">
        <x:v>Forecast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C3" s="2"/>
    </x:row>
    <x:row r="4">
      <x:c r="C4" s="2"/>
    </x:row>
    <x:row r="5">
      <x:c r="C5" s="133" t="str">
        <x:v>No forecast output is available in Phase 2.</x:v>
      </x:c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40"/>
    </x:row>
    <x:row r="6">
      <x:c r="C6" s="136"/>
      <x:c r="D6" s="141"/>
      <x:c r="E6" s="141"/>
      <x:c r="F6" s="141"/>
      <x:c r="G6" s="141"/>
      <x:c r="H6" s="141"/>
      <x:c r="I6" s="141"/>
      <x:c r="J6" s="141"/>
      <x:c r="K6" s="141"/>
      <x:c r="L6" s="141"/>
      <x:c r="M6" s="141"/>
      <x:c r="N6" s="142"/>
    </x:row>
    <x:row r="7">
      <x:c r="C7" s="2"/>
    </x:row>
    <x:row r="8">
      <x:c r="C8" s="2"/>
    </x:row>
    <x:row r="9">
      <x:c r="C9" s="38" t="str">
        <x:v>Phase 4 will preserve January–June 2026 as recorded actuals and forecast July–December 2026.</x:v>
      </x:c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</x:row>
    <x:row r="10">
      <x:c r="C10" s="145"/>
      <x:c r="D10" s="145"/>
      <x:c r="E10" s="145"/>
      <x:c r="F10" s="145"/>
      <x:c r="G10" s="145"/>
      <x:c r="H10" s="145"/>
      <x:c r="I10" s="145"/>
      <x:c r="J10" s="145"/>
      <x:c r="K10" s="145"/>
      <x:c r="L10" s="145"/>
      <x:c r="M10" s="145"/>
      <x:c r="N10" s="145"/>
    </x:row>
    <x:row r="11">
      <x:c r="C11" s="2"/>
    </x:row>
    <x:row r="12">
      <x:c r="C12" s="38" t="str">
        <x:v>Base, Upside, and Downside cases will be vertically stacked and will change operating drivers rather than finished results.</x:v>
      </x:c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</x:row>
    <x:row r="13">
      <x:c r="C13" s="145"/>
      <x:c r="D13" s="145"/>
      <x:c r="E13" s="145"/>
      <x:c r="F13" s="145"/>
      <x:c r="G13" s="145"/>
      <x:c r="H13" s="145"/>
      <x:c r="I13" s="145"/>
      <x:c r="J13" s="145"/>
      <x:c r="K13" s="145"/>
      <x:c r="L13" s="145"/>
      <x:c r="M13" s="145"/>
      <x:c r="N13" s="145"/>
    </x:row>
    <x:row r="14">
      <x:c r="C14" s="2"/>
    </x:row>
    <x:row r="15">
      <x:c r="C15" s="38" t="str">
        <x:v>No scenario assumptions, toggles, placeholder tables, or forecast values have been created in this phase.</x:v>
      </x:c>
      <x:c r="D15" s="38"/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</x:row>
    <x:row r="16">
      <x:c r="C16" s="145"/>
      <x:c r="D16" s="145"/>
      <x:c r="E16" s="145"/>
      <x:c r="F16" s="145"/>
      <x:c r="G16" s="145"/>
      <x:c r="H16" s="145"/>
      <x:c r="I16" s="145"/>
      <x:c r="J16" s="145"/>
      <x:c r="K16" s="145"/>
      <x:c r="L16" s="145"/>
      <x:c r="M16" s="145"/>
      <x:c r="N16" s="145"/>
    </x:row>
  </x:sheetData>
  <x:mergeCells>
    <x:mergeCell ref="C2:N2"/>
    <x:mergeCell ref="C5:N6"/>
    <x:mergeCell ref="C9:N10"/>
    <x:mergeCell ref="C12:N13"/>
    <x:mergeCell ref="C15:N1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3" max="3" width="38" hidden="0" customWidth="1"/>
    <x:col min="4" max="4" width="14" hidden="0" customWidth="1"/>
    <x:col min="5" max="5" width="15" hidden="0" customWidth="1"/>
    <x:col min="6" max="6" width="18" hidden="0" customWidth="1"/>
    <x:col min="7" max="7" width="16" hidden="0" customWidth="1"/>
    <x:col min="8" max="8" width="18" hidden="0" customWidth="1"/>
    <x:col min="9" max="9" width="15" hidden="0" customWidth="1"/>
    <x:col min="10" max="10" width="15" hidden="0" customWidth="1"/>
    <x:col min="11" max="11" width="15" hidden="0" customWidth="1"/>
    <x:col min="12" max="12" width="17" hidden="0" customWidth="1"/>
    <x:col min="13" max="13" width="25" hidden="0" customWidth="1"/>
    <x:col min="14" max="14" width="25" hidden="0" customWidth="1"/>
  </x:cols>
  <x:sheetData>
    <x:row r="2" ht="18" customHeight="1">
      <x:c r="C2" s="173" t="str">
        <x:v>Actual performance and variance attribution</x:v>
      </x:c>
      <x:c r="D2" s="173"/>
      <x:c r="E2" s="173"/>
      <x:c r="F2" s="173"/>
      <x:c r="G2" s="173"/>
      <x:c r="H2" s="173"/>
      <x:c r="I2" s="173"/>
      <x:c r="J2" s="173"/>
      <x:c r="K2" s="173"/>
      <x:c r="L2" s="173"/>
      <x:c r="M2" s="173"/>
      <x:c r="N2" s="173"/>
    </x:row>
    <x:row r="3" ht="18" customHeight="1">
      <x:c r="C3" s="174" t="str">
        <x:v>January–June 2026 actuals compared with the matched approved budget and January–June 2025 actuals.</x:v>
      </x:c>
      <x:c r="D3" s="174"/>
      <x:c r="E3" s="174"/>
      <x:c r="F3" s="174"/>
      <x:c r="G3" s="174"/>
      <x:c r="H3" s="174"/>
      <x:c r="I3" s="174"/>
      <x:c r="J3" s="174"/>
      <x:c r="K3" s="174"/>
      <x:c r="L3" s="174"/>
      <x:c r="M3" s="174"/>
      <x:c r="N3" s="174"/>
    </x:row>
    <x:row r="4" ht="18" customHeight="1">
      <x:c r="C4" s="171"/>
      <x:c r="D4" s="171"/>
      <x:c r="E4" s="171"/>
      <x:c r="F4" s="171"/>
      <x:c r="G4" s="171"/>
      <x:c r="H4" s="171"/>
      <x:c r="I4" s="171"/>
      <x:c r="J4" s="171"/>
      <x:c r="K4" s="171"/>
      <x:c r="L4" s="171"/>
      <x:c r="M4" s="171"/>
      <x:c r="N4" s="171"/>
    </x:row>
    <x:row r="5" ht="24" customHeight="1">
      <x:c r="C5" s="431" t="str">
        <x:v>Analysis scope and conventions</x:v>
      </x:c>
      <x:c r="D5" s="432"/>
      <x:c r="E5" s="432"/>
      <x:c r="F5" s="432"/>
      <x:c r="G5" s="432"/>
      <x:c r="H5" s="432"/>
      <x:c r="I5" s="432"/>
      <x:c r="J5" s="432"/>
      <x:c r="K5" s="432"/>
      <x:c r="L5" s="432"/>
      <x:c r="M5" s="432"/>
      <x:c r="N5" s="433"/>
    </x:row>
    <x:row r="6" ht="22" customHeight="1">
      <x:c r="C6" s="180" t="str">
        <x:v>Actual period</x:v>
      </x:c>
      <x:c r="D6" s="171" t="str">
        <x:v>January–June 2026 recorded actuals</x:v>
      </x:c>
      <x:c r="E6" s="171"/>
      <x:c r="F6" s="171"/>
      <x:c r="G6" s="171"/>
      <x:c r="H6" s="171"/>
      <x:c r="I6" s="171"/>
      <x:c r="J6" s="171"/>
      <x:c r="K6" s="171"/>
      <x:c r="L6" s="171"/>
      <x:c r="M6" s="171"/>
      <x:c r="N6" s="171"/>
    </x:row>
    <x:row r="7" ht="22" customHeight="1">
      <x:c r="C7" s="180" t="str">
        <x:v>Budget comparison</x:v>
      </x:c>
      <x:c r="D7" s="171" t="str">
        <x:v>January–June 2026 approved budget</x:v>
      </x:c>
      <x:c r="E7" s="171"/>
      <x:c r="F7" s="171"/>
      <x:c r="G7" s="171"/>
      <x:c r="H7" s="171"/>
      <x:c r="I7" s="171"/>
      <x:c r="J7" s="171"/>
      <x:c r="K7" s="171"/>
      <x:c r="L7" s="171"/>
      <x:c r="M7" s="171"/>
      <x:c r="N7" s="171"/>
    </x:row>
    <x:row r="8" ht="22" customHeight="1">
      <x:c r="C8" s="180" t="str">
        <x:v>Prior-year comparison</x:v>
      </x:c>
      <x:c r="D8" s="171" t="str">
        <x:v>January–June 2025 recorded actuals</x:v>
      </x:c>
      <x:c r="E8" s="171"/>
      <x:c r="F8" s="171"/>
      <x:c r="G8" s="171"/>
      <x:c r="H8" s="171"/>
      <x:c r="I8" s="171"/>
      <x:c r="J8" s="171"/>
      <x:c r="K8" s="171"/>
      <x:c r="L8" s="171"/>
      <x:c r="M8" s="171"/>
      <x:c r="N8" s="171"/>
    </x:row>
    <x:row r="9" ht="22" customHeight="1">
      <x:c r="C9" s="180" t="str">
        <x:v>Information cutoff</x:v>
      </x:c>
      <x:c r="D9" s="181" t="n">
        <x:v>46211</x:v>
      </x:c>
      <x:c r="E9" s="171"/>
      <x:c r="F9" s="171"/>
      <x:c r="G9" s="171"/>
      <x:c r="H9" s="171"/>
      <x:c r="I9" s="171"/>
      <x:c r="J9" s="171"/>
      <x:c r="K9" s="171"/>
      <x:c r="L9" s="171"/>
      <x:c r="M9" s="171"/>
      <x:c r="N9" s="171"/>
    </x:row>
    <x:row r="10" ht="22" customHeight="1">
      <x:c r="C10" s="180" t="str">
        <x:v>Case version</x:v>
      </x:c>
      <x:c r="D10" s="171" t="str">
        <x:v>v1.0</x:v>
      </x:c>
      <x:c r="E10" s="171"/>
      <x:c r="F10" s="171"/>
      <x:c r="G10" s="171"/>
      <x:c r="H10" s="171"/>
      <x:c r="I10" s="171"/>
      <x:c r="J10" s="171"/>
      <x:c r="K10" s="171"/>
      <x:c r="L10" s="171"/>
      <x:c r="M10" s="171"/>
      <x:c r="N10" s="171"/>
    </x:row>
    <x:row r="11" ht="32" customHeight="1">
      <x:c r="C11" s="180" t="str">
        <x:v>Synthetic-data disclosure</x:v>
      </x:c>
      <x:c r="D11" s="171" t="str">
        <x:v>Palmetto Stay is fictional. All company-specific actuals, budgets, operating records, staffing information, and case updates are synthetic.</x:v>
      </x:c>
      <x:c r="E11" s="171"/>
      <x:c r="F11" s="171"/>
      <x:c r="G11" s="171"/>
      <x:c r="H11" s="171"/>
      <x:c r="I11" s="171"/>
      <x:c r="J11" s="171"/>
      <x:c r="K11" s="171"/>
      <x:c r="L11" s="171"/>
      <x:c r="M11" s="171"/>
      <x:c r="N11" s="171"/>
    </x:row>
    <x:row r="12" ht="32" customHeight="1">
      <x:c r="C12" s="180" t="str">
        <x:v>Source references</x:v>
      </x:c>
      <x:c r="D12" s="171" t="str">
        <x:v>Data: financial_actuals.csv, operating_actuals.csv, labor_actuals.csv, and case_updates.csv. Budget: approved Budget sheet built from approved_budget_assumptions.csv.</x:v>
      </x:c>
      <x:c r="E12" s="171"/>
      <x:c r="F12" s="171"/>
      <x:c r="G12" s="171"/>
      <x:c r="H12" s="171"/>
      <x:c r="I12" s="171"/>
      <x:c r="J12" s="171"/>
      <x:c r="K12" s="171"/>
      <x:c r="L12" s="171"/>
      <x:c r="M12" s="171"/>
      <x:c r="N12" s="171"/>
    </x:row>
    <x:row r="13" ht="22" customHeight="1">
      <x:c r="C13" s="180" t="str">
        <x:v>Revenue and contribution</x:v>
      </x:c>
      <x:c r="D13" s="171" t="str">
        <x:v>Actual minus Budget. Positive is favorable.</x:v>
      </x:c>
      <x:c r="E13" s="171"/>
      <x:c r="F13" s="171"/>
      <x:c r="G13" s="171"/>
      <x:c r="H13" s="171"/>
      <x:c r="I13" s="171"/>
      <x:c r="J13" s="171"/>
      <x:c r="K13" s="171"/>
      <x:c r="L13" s="171"/>
      <x:c r="M13" s="171"/>
      <x:c r="N13" s="171"/>
    </x:row>
    <x:row r="14" ht="22" customHeight="1">
      <x:c r="C14" s="180" t="str">
        <x:v>Expense analysis</x:v>
      </x:c>
      <x:c r="D14" s="171" t="str">
        <x:v>Actual cost minus Budget cost. Positive is a cost increase and unfavorable.</x:v>
      </x:c>
      <x:c r="E14" s="171"/>
      <x:c r="F14" s="171"/>
      <x:c r="G14" s="171"/>
      <x:c r="H14" s="171"/>
      <x:c r="I14" s="171"/>
      <x:c r="J14" s="171"/>
      <x:c r="K14" s="171"/>
      <x:c r="L14" s="171"/>
      <x:c r="M14" s="171"/>
      <x:c r="N14" s="171"/>
    </x:row>
    <x:row r="15" ht="22" customHeight="1">
      <x:c r="C15" s="180" t="str">
        <x:v>Contribution bridge expenses</x:v>
      </x:c>
      <x:c r="D15" s="171" t="str">
        <x:v>Budget cost minus Actual cost. Positive is favorable to contribution.</x:v>
      </x:c>
      <x:c r="E15" s="171"/>
      <x:c r="F15" s="171"/>
      <x:c r="G15" s="171"/>
      <x:c r="H15" s="171"/>
      <x:c r="I15" s="171"/>
      <x:c r="J15" s="171"/>
      <x:c r="K15" s="171"/>
      <x:c r="L15" s="171"/>
      <x:c r="M15" s="171"/>
      <x:c r="N15" s="171"/>
    </x:row>
    <x:row r="16" ht="22" customHeight="1">
      <x:c r="C16" s="180" t="str">
        <x:v>Sequential bridges</x:v>
      </x:c>
      <x:c r="D16" s="171" t="str">
        <x:v>Revenue uses volume, mix, then rate. Housekeeping uses volume, efficiency, then wage rate. Monthly effects sum to YTD.</x:v>
      </x:c>
      <x:c r="E16" s="171"/>
      <x:c r="F16" s="171"/>
      <x:c r="G16" s="171"/>
      <x:c r="H16" s="171"/>
      <x:c r="I16" s="171"/>
      <x:c r="J16" s="171"/>
      <x:c r="K16" s="171"/>
      <x:c r="L16" s="171"/>
      <x:c r="M16" s="171"/>
      <x:c r="N16" s="171"/>
    </x:row>
    <x:row r="17" ht="34" customHeight="1">
      <x:c r="C17" s="180" t="str">
        <x:v>Materiality guidance</x:v>
      </x:c>
      <x:c r="D17" s="171" t="str">
        <x:v>Review items with absolute YTD variance of at least $10,000, at least 5.0% on a meaningful base, or a known or unresolved qualitative event. A flag is not proof of causation.</x:v>
      </x:c>
      <x:c r="E17" s="171"/>
      <x:c r="F17" s="171"/>
      <x:c r="G17" s="171"/>
      <x:c r="H17" s="171"/>
      <x:c r="I17" s="171"/>
      <x:c r="J17" s="171"/>
      <x:c r="K17" s="171"/>
      <x:c r="L17" s="171"/>
      <x:c r="M17" s="171"/>
      <x:c r="N17" s="171"/>
    </x:row>
    <x:row r="18" ht="34" customHeight="1">
      <x:c r="C18" s="180" t="str">
        <x:v>Interaction-effect disclosure</x:v>
      </x:c>
      <x:c r="D18" s="171" t="str">
        <x:v>Sequential attribution assigns interaction effects according to the stated order. It is a consistent analytical convention, not the only possible causal allocation.</x:v>
      </x:c>
      <x:c r="E18" s="171"/>
      <x:c r="F18" s="171"/>
      <x:c r="G18" s="171"/>
      <x:c r="H18" s="171"/>
      <x:c r="I18" s="171"/>
      <x:c r="J18" s="171"/>
      <x:c r="K18" s="171"/>
      <x:c r="L18" s="171"/>
      <x:c r="M18" s="171"/>
      <x:c r="N18" s="171"/>
    </x:row>
    <x:row r="19" ht="18" customHeight="1">
      <x:c r="C19" s="171"/>
      <x:c r="D19" s="171"/>
      <x:c r="E19" s="171"/>
      <x:c r="F19" s="171"/>
      <x:c r="G19" s="171"/>
      <x:c r="H19" s="171"/>
      <x:c r="I19" s="171"/>
      <x:c r="J19" s="171"/>
      <x:c r="K19" s="171"/>
      <x:c r="L19" s="171"/>
      <x:c r="M19" s="171"/>
      <x:c r="N19" s="171"/>
    </x:row>
    <x:row r="20" ht="18" customHeight="1">
      <x:c r="C20" s="171"/>
      <x:c r="D20" s="171"/>
      <x:c r="E20" s="171"/>
      <x:c r="F20" s="171"/>
      <x:c r="G20" s="171"/>
      <x:c r="H20" s="171"/>
      <x:c r="I20" s="171"/>
      <x:c r="J20" s="171"/>
      <x:c r="K20" s="171"/>
      <x:c r="L20" s="171"/>
      <x:c r="M20" s="171"/>
      <x:c r="N20" s="171"/>
    </x:row>
    <x:row r="21" ht="24" customHeight="1">
      <x:c r="C21" s="431" t="str">
        <x:v>YTD operating scorecard</x:v>
      </x:c>
      <x:c r="D21" s="432"/>
      <x:c r="E21" s="432"/>
      <x:c r="F21" s="432"/>
      <x:c r="G21" s="432"/>
      <x:c r="H21" s="432"/>
      <x:c r="I21" s="432"/>
      <x:c r="J21" s="433"/>
      <x:c r="K21" s="171"/>
      <x:c r="L21" s="171"/>
      <x:c r="M21" s="171"/>
      <x:c r="N21" s="171"/>
    </x:row>
    <x:row r="22" ht="28" customHeight="1">
      <x:c r="C22" s="389" t="str">
        <x:v>Revenue and contribution variance: positive is favorable. Expense variance: positive is a cost increase and unfavorable. Occupancy, corporate share, and contribution margin changes are percentage points.</x:v>
      </x:c>
      <x:c r="D22" s="389"/>
      <x:c r="E22" s="389"/>
      <x:c r="F22" s="389"/>
      <x:c r="G22" s="389"/>
      <x:c r="H22" s="389"/>
      <x:c r="I22" s="389"/>
      <x:c r="J22" s="389"/>
      <x:c r="K22" s="171"/>
      <x:c r="L22" s="171"/>
      <x:c r="M22" s="171"/>
      <x:c r="N22" s="171"/>
    </x:row>
    <x:row r="23" ht="32" customHeight="1">
      <x:c r="C23" s="438" t="str">
        <x:v>Metric</x:v>
      </x:c>
      <x:c r="D23" s="439" t="str">
        <x:v>2026 Actual</x:v>
      </x:c>
      <x:c r="E23" s="439" t="str">
        <x:v>2026 Budget</x:v>
      </x:c>
      <x:c r="F23" s="439" t="str">
        <x:v>Variance / pp</x:v>
      </x:c>
      <x:c r="G23" s="439" t="str">
        <x:v>Variance %</x:v>
      </x:c>
      <x:c r="H23" s="439" t="str">
        <x:v>2025 Actual</x:v>
      </x:c>
      <x:c r="I23" s="439" t="str">
        <x:v>YoY change / pp</x:v>
      </x:c>
      <x:c r="J23" s="440" t="str">
        <x:v>YoY change %</x:v>
      </x:c>
      <x:c r="K23" s="171"/>
      <x:c r="L23" s="171"/>
      <x:c r="M23" s="171"/>
      <x:c r="N23" s="171"/>
    </x:row>
    <x:row r="24" ht="24" customHeight="1">
      <x:c r="C24" s="431" t="str">
        <x:v>Operating KPIs</x:v>
      </x:c>
      <x:c r="D24" s="432"/>
      <x:c r="E24" s="432"/>
      <x:c r="F24" s="432"/>
      <x:c r="G24" s="432"/>
      <x:c r="H24" s="432"/>
      <x:c r="I24" s="432"/>
      <x:c r="J24" s="433"/>
      <x:c r="K24" s="171"/>
      <x:c r="L24" s="171"/>
      <x:c r="M24" s="171"/>
      <x:c r="N24" s="171"/>
    </x:row>
    <x:row r="25" ht="18" customHeight="1">
      <x:c r="C25" s="228" t="str">
        <x:v>Available room nights</x:v>
      </x:c>
      <x:c r="D25" s="230" t="n">
        <x:f>J94</x:f>
        <x:v>18100</x:v>
      </x:c>
      <x:c r="E25" s="230" t="n">
        <x:f>J61</x:f>
        <x:v>18100</x:v>
      </x:c>
      <x:c r="F25" s="230" t="n">
        <x:f>D25-E25</x:f>
        <x:v>0</x:v>
      </x:c>
      <x:c r="G25" s="259" t="n">
        <x:f>IF(E25=0,"n.a.",F25/ABS(E25))</x:f>
        <x:v>0</x:v>
      </x:c>
      <x:c r="H25" s="230" t="n">
        <x:f>100*(31+28+31+30+31+30)</x:f>
        <x:v>18100</x:v>
      </x:c>
      <x:c r="I25" s="230" t="n">
        <x:f>D25-H25</x:f>
        <x:v>0</x:v>
      </x:c>
      <x:c r="J25" s="259" t="n">
        <x:f>IF(H25=0,"n.a.",I25/ABS(H25))</x:f>
        <x:v>0</x:v>
      </x:c>
      <x:c r="K25" s="171"/>
      <x:c r="L25" s="171"/>
      <x:c r="M25" s="171"/>
      <x:c r="N25" s="171"/>
    </x:row>
    <x:row r="26" ht="18" customHeight="1">
      <x:c r="C26" s="231" t="str">
        <x:v>Occupied room nights</x:v>
      </x:c>
      <x:c r="D26" s="233" t="n">
        <x:f>J95</x:f>
        <x:v>11538</x:v>
      </x:c>
      <x:c r="E26" s="233" t="n">
        <x:f>J62</x:f>
        <x:v>12078</x:v>
      </x:c>
      <x:c r="F26" s="233" t="n">
        <x:f>D26-E26</x:f>
        <x:v>-540</x:v>
      </x:c>
      <x:c r="G26" s="260" t="n">
        <x:f>IF(E26=0,"n.a.",F26/ABS(E26))</x:f>
        <x:v>-0.044709388971684055</x:v>
      </x:c>
      <x:c r="H26" s="233" t="n">
        <x:f>H28+H29</x:f>
        <x:v>11596</x:v>
      </x:c>
      <x:c r="I26" s="233" t="n">
        <x:f>D26-H26</x:f>
        <x:v>-58</x:v>
      </x:c>
      <x:c r="J26" s="260" t="n">
        <x:f>IF(H26=0,"n.a.",I26/ABS(H26))</x:f>
        <x:v>-0.005001724732666437</x:v>
      </x:c>
      <x:c r="K26" s="171"/>
      <x:c r="L26" s="171"/>
      <x:c r="M26" s="171"/>
      <x:c r="N26" s="171"/>
    </x:row>
    <x:row r="27" ht="18" customHeight="1">
      <x:c r="C27" s="234" t="str">
        <x:v>Occupancy</x:v>
      </x:c>
      <x:c r="D27" s="236" t="n">
        <x:f>J96</x:f>
        <x:v>0.6374585635359116</x:v>
      </x:c>
      <x:c r="E27" s="236" t="n">
        <x:f>J63</x:f>
        <x:v>0.6672928176795581</x:v>
      </x:c>
      <x:c r="F27" s="255" t="n">
        <x:f>(D27-E27)*100</x:f>
        <x:v>-2.983425414364649</x:v>
      </x:c>
      <x:c r="G27" s="236" t="str">
        <x:v>n.a.</x:v>
      </x:c>
      <x:c r="H27" s="236" t="n">
        <x:f>H26/H25</x:f>
        <x:v>0.6406629834254144</x:v>
      </x:c>
      <x:c r="I27" s="255" t="n">
        <x:f>(D27-H27)*100</x:f>
        <x:v>-0.32044198895028186</x:v>
      </x:c>
      <x:c r="J27" s="236" t="str">
        <x:v>n.a.</x:v>
      </x:c>
      <x:c r="K27" s="171"/>
      <x:c r="L27" s="171"/>
      <x:c r="M27" s="171"/>
      <x:c r="N27" s="171"/>
    </x:row>
    <x:row r="28" ht="18" customHeight="1">
      <x:c r="C28" s="231" t="str">
        <x:v>Retail room nights</x:v>
      </x:c>
      <x:c r="D28" s="238" t="n">
        <x:f>J97</x:f>
        <x:v>7012</x:v>
      </x:c>
      <x:c r="E28" s="238" t="n">
        <x:f>J64</x:f>
        <x:v>8058.960000000001</x:v>
      </x:c>
      <x:c r="F28" s="238" t="n">
        <x:f>D28-E28</x:f>
        <x:v>-1046.960000000001</x:v>
      </x:c>
      <x:c r="G28" s="260" t="n">
        <x:f>IF(E28=0,"n.a.",F28/ABS(E28))</x:f>
        <x:v>-0.129912544546691</x:v>
      </x:c>
      <x:c r="H28" s="238" t="n">
        <x:f>SUM(Data!$F$158,Data!$F$160,Data!$F$162,Data!$F$164,Data!$F$166,Data!$F$168)</x:f>
        <x:v>8040</x:v>
      </x:c>
      <x:c r="I28" s="238" t="n">
        <x:f>D28-H28</x:f>
        <x:v>-1028</x:v>
      </x:c>
      <x:c r="J28" s="260" t="n">
        <x:f>IF(H28=0,"n.a.",I28/ABS(H28))</x:f>
        <x:v>-0.12786069651741294</x:v>
      </x:c>
      <x:c r="K28" s="171"/>
      <x:c r="L28" s="171"/>
      <x:c r="M28" s="171"/>
      <x:c r="N28" s="171"/>
    </x:row>
    <x:row r="29" ht="18" customHeight="1">
      <x:c r="C29" s="231" t="str">
        <x:v>Corporate room nights</x:v>
      </x:c>
      <x:c r="D29" s="238" t="n">
        <x:f>J98</x:f>
        <x:v>4526</x:v>
      </x:c>
      <x:c r="E29" s="238" t="n">
        <x:f>J65</x:f>
        <x:v>4019.0400000000004</x:v>
      </x:c>
      <x:c r="F29" s="238" t="n">
        <x:f>D29-E29</x:f>
        <x:v>506.9599999999996</x:v>
      </x:c>
      <x:c r="G29" s="260" t="n">
        <x:f>IF(E29=0,"n.a.",F29/ABS(E29))</x:f>
        <x:v>0.12613957562004846</x:v>
      </x:c>
      <x:c r="H29" s="238" t="n">
        <x:f>SUM(Data!$F$159,Data!$F$161,Data!$F$163,Data!$F$165,Data!$F$167,Data!$F$169)</x:f>
        <x:v>3556</x:v>
      </x:c>
      <x:c r="I29" s="238" t="n">
        <x:f>D29-H29</x:f>
        <x:v>970</x:v>
      </x:c>
      <x:c r="J29" s="260" t="n">
        <x:f>IF(H29=0,"n.a.",I29/ABS(H29))</x:f>
        <x:v>0.2727784026996625</x:v>
      </x:c>
      <x:c r="K29" s="171"/>
      <x:c r="L29" s="171"/>
      <x:c r="M29" s="171"/>
      <x:c r="N29" s="171"/>
    </x:row>
    <x:row r="30" ht="18" customHeight="1">
      <x:c r="C30" s="234" t="str">
        <x:v>Corporate share</x:v>
      </x:c>
      <x:c r="D30" s="236" t="n">
        <x:f>J99</x:f>
        <x:v>0.3922690240942971</x:v>
      </x:c>
      <x:c r="E30" s="236" t="n">
        <x:f>J66</x:f>
        <x:v>0.33275707898658724</x:v>
      </x:c>
      <x:c r="F30" s="255" t="n">
        <x:f>(D30-E30)*100</x:f>
        <x:v>5.951194510770986</x:v>
      </x:c>
      <x:c r="G30" s="236" t="str">
        <x:v>n.a.</x:v>
      </x:c>
      <x:c r="H30" s="236" t="n">
        <x:f>H29/H26</x:f>
        <x:v>0.30665746809244565</x:v>
      </x:c>
      <x:c r="I30" s="255" t="n">
        <x:f>(D30-H30)*100</x:f>
        <x:v>8.561155600185144</x:v>
      </x:c>
      <x:c r="J30" s="236" t="str">
        <x:v>n.a.</x:v>
      </x:c>
      <x:c r="K30" s="171"/>
      <x:c r="L30" s="171"/>
      <x:c r="M30" s="171"/>
      <x:c r="N30" s="171"/>
    </x:row>
    <x:row r="31" ht="18" customHeight="1">
      <x:c r="C31" s="231" t="str">
        <x:v>Retail ADR</x:v>
      </x:c>
      <x:c r="D31" s="240" t="n">
        <x:f>J100</x:f>
        <x:v>163.61737022247576</x:v>
      </x:c>
      <x:c r="E31" s="240" t="n">
        <x:f>J67</x:f>
        <x:v>163.69145894755647</x:v>
      </x:c>
      <x:c r="F31" s="240" t="n">
        <x:f>D31-E31</x:f>
        <x:v>-0.0740887250807134</x:v>
      </x:c>
      <x:c r="G31" s="260" t="n">
        <x:f>IF(E31=0,"n.a.",F31/ABS(E31))</x:f>
        <x:v>-0.0004526120394861284</x:v>
      </x:c>
      <x:c r="H31" s="240" t="n">
        <x:f>H36/H28</x:f>
        <x:v>159.98893034825872</x:v>
      </x:c>
      <x:c r="I31" s="240" t="n">
        <x:f>D31-H31</x:f>
        <x:v>3.6284398742170367</x:v>
      </x:c>
      <x:c r="J31" s="260" t="n">
        <x:f>IF(H31=0,"n.a.",I31/ABS(H31))</x:f>
        <x:v>0.02267931828982647</x:v>
      </x:c>
      <x:c r="K31" s="171"/>
      <x:c r="L31" s="171"/>
      <x:c r="M31" s="171"/>
      <x:c r="N31" s="171"/>
    </x:row>
    <x:row r="32" ht="18" customHeight="1">
      <x:c r="C32" s="231" t="str">
        <x:v>Corporate ADR</x:v>
      </x:c>
      <x:c r="D32" s="240" t="n">
        <x:f>J101</x:f>
        <x:v>140.86942112240388</x:v>
      </x:c>
      <x:c r="E32" s="240" t="n">
        <x:f>J68</x:f>
        <x:v>140.29937995143115</x:v>
      </x:c>
      <x:c r="F32" s="240" t="n">
        <x:f>D32-E32</x:f>
        <x:v>0.5700411709727291</x:v>
      </x:c>
      <x:c r="G32" s="260" t="n">
        <x:f>IF(E32=0,"n.a.",F32/ABS(E32))</x:f>
        <x:v>0.004063034142916854</x:v>
      </x:c>
      <x:c r="H32" s="240" t="n">
        <x:f>H37/H29</x:f>
        <x:v>137.58830146231722</x:v>
      </x:c>
      <x:c r="I32" s="240" t="n">
        <x:f>D32-H32</x:f>
        <x:v>3.2811196600866595</x:v>
      </x:c>
      <x:c r="J32" s="260" t="n">
        <x:f>IF(H32=0,"n.a.",I32/ABS(H32))</x:f>
        <x:v>0.023847373833488995</x:v>
      </x:c>
      <x:c r="K32" s="171"/>
      <x:c r="L32" s="171"/>
      <x:c r="M32" s="171"/>
      <x:c r="N32" s="171"/>
    </x:row>
    <x:row r="33" ht="18" customHeight="1">
      <x:c r="C33" s="231" t="str">
        <x:v>Blended ADR</x:v>
      </x:c>
      <x:c r="D33" s="240" t="n">
        <x:f>J102</x:f>
        <x:v>154.69405442884383</x:v>
      </x:c>
      <x:c r="E33" s="240" t="n">
        <x:f>J69</x:f>
        <x:v>155.90757906938234</x:v>
      </x:c>
      <x:c r="F33" s="240" t="n">
        <x:f>D33-E33</x:f>
        <x:v>-1.213524640538509</x:v>
      </x:c>
      <x:c r="G33" s="260" t="n">
        <x:f>IF(E33=0,"n.a.",F33/ABS(E33))</x:f>
        <x:v>-0.0077836154456510645</x:v>
      </x:c>
      <x:c r="H33" s="240" t="n">
        <x:f>H38/H26</x:f>
        <x:v>153.1196102104174</x:v>
      </x:c>
      <x:c r="I33" s="240" t="n">
        <x:f>D33-H33</x:f>
        <x:v>1.5744442184264358</x:v>
      </x:c>
      <x:c r="J33" s="260" t="n">
        <x:f>IF(H33=0,"n.a.",I33/ABS(H33))</x:f>
        <x:v>0.010282446619755825</x:v>
      </x:c>
      <x:c r="K33" s="171"/>
      <x:c r="L33" s="171"/>
      <x:c r="M33" s="171"/>
      <x:c r="N33" s="171"/>
    </x:row>
    <x:row r="34" ht="18" customHeight="1">
      <x:c r="C34" s="261" t="str">
        <x:v>RevPAR</x:v>
      </x:c>
      <x:c r="D34" s="262" t="n">
        <x:f>J103</x:f>
        <x:v>98.6110497237569</x:v>
      </x:c>
      <x:c r="E34" s="262" t="n">
        <x:f>J70</x:f>
        <x:v>104.03600773480662</x:v>
      </x:c>
      <x:c r="F34" s="262" t="n">
        <x:f>D34-E34</x:f>
        <x:v>-5.424958011049711</x:v>
      </x:c>
      <x:c r="G34" s="263" t="n">
        <x:f>IF(E34=0,"n.a.",F34/ABS(E34))</x:f>
        <x:v>-0.052145003726769494</x:v>
      </x:c>
      <x:c r="H34" s="262" t="n">
        <x:f>H38/H25</x:f>
        <x:v>98.09806629834254</x:v>
      </x:c>
      <x:c r="I34" s="262" t="n">
        <x:f>D34-H34</x:f>
        <x:v>0.5129834254143617</x:v>
      </x:c>
      <x:c r="J34" s="263" t="n">
        <x:f>IF(H34=0,"n.a.",I34/ABS(H34))</x:f>
        <x:v>0.005229291919518999</x:v>
      </x:c>
      <x:c r="K34" s="171"/>
      <x:c r="L34" s="171"/>
      <x:c r="M34" s="171"/>
      <x:c r="N34" s="171"/>
    </x:row>
    <x:row r="35" ht="24" customHeight="1">
      <x:c r="C35" s="431" t="str">
        <x:v>Financial performance</x:v>
      </x:c>
      <x:c r="D35" s="432"/>
      <x:c r="E35" s="432"/>
      <x:c r="F35" s="432"/>
      <x:c r="G35" s="432"/>
      <x:c r="H35" s="432"/>
      <x:c r="I35" s="432"/>
      <x:c r="J35" s="433"/>
      <x:c r="K35" s="171"/>
      <x:c r="L35" s="171"/>
      <x:c r="M35" s="171"/>
      <x:c r="N35" s="171"/>
    </x:row>
    <x:row r="36" ht="18" customHeight="1">
      <x:c r="C36" s="228" t="str">
        <x:v>Retail room revenue</x:v>
      </x:c>
      <x:c r="D36" s="264" t="n">
        <x:f>J104</x:f>
        <x:v>1147285</x:v>
      </x:c>
      <x:c r="E36" s="264" t="n">
        <x:f>J71</x:f>
        <x:v>1319182.92</x:v>
      </x:c>
      <x:c r="F36" s="264" t="n">
        <x:f>D36-E36</x:f>
        <x:v>-171897.91999999993</x:v>
      </x:c>
      <x:c r="G36" s="259" t="n">
        <x:f>IF(E36=0,"n.a.",F36/ABS(E36))</x:f>
        <x:v>-0.13030635660443507</x:v>
      </x:c>
      <x:c r="H36" s="264" t="n">
        <x:f>SUM(Data!$G$158,Data!$G$160,Data!$G$162,Data!$G$164,Data!$G$166,Data!$G$168)</x:f>
        <x:v>1286311</x:v>
      </x:c>
      <x:c r="I36" s="264" t="n">
        <x:f>D36-H36</x:f>
        <x:v>-139026</x:v>
      </x:c>
      <x:c r="J36" s="259" t="n">
        <x:f>IF(H36=0,"n.a.",I36/ABS(H36))</x:f>
        <x:v>-0.10808117166066371</x:v>
      </x:c>
      <x:c r="K36" s="171"/>
      <x:c r="L36" s="171"/>
      <x:c r="M36" s="171"/>
      <x:c r="N36" s="171"/>
    </x:row>
    <x:row r="37" ht="18" customHeight="1">
      <x:c r="C37" s="231" t="str">
        <x:v>Corporate room revenue</x:v>
      </x:c>
      <x:c r="D37" s="242" t="n">
        <x:f>J105</x:f>
        <x:v>637575</x:v>
      </x:c>
      <x:c r="E37" s="242" t="n">
        <x:f>J72</x:f>
        <x:v>563868.82</x:v>
      </x:c>
      <x:c r="F37" s="242" t="n">
        <x:f>D37-E37</x:f>
        <x:v>73706.18000000005</x:v>
      </x:c>
      <x:c r="G37" s="260" t="n">
        <x:f>IF(E37=0,"n.a.",F37/ABS(E37))</x:f>
        <x:v>0.1307151191654826</x:v>
      </x:c>
      <x:c r="H37" s="242" t="n">
        <x:f>SUM(Data!$G$159,Data!$G$161,Data!$G$163,Data!$G$165,Data!$G$167,Data!$G$169)</x:f>
        <x:v>489264</x:v>
      </x:c>
      <x:c r="I37" s="242" t="n">
        <x:f>D37-H37</x:f>
        <x:v>148311</x:v>
      </x:c>
      <x:c r="J37" s="260" t="n">
        <x:f>IF(H37=0,"n.a.",I37/ABS(H37))</x:f>
        <x:v>0.30313082507603256</x:v>
      </x:c>
      <x:c r="K37" s="171"/>
      <x:c r="L37" s="171"/>
      <x:c r="M37" s="171"/>
      <x:c r="N37" s="171"/>
    </x:row>
    <x:row r="38" ht="18" customHeight="1">
      <x:c r="C38" s="243" t="str">
        <x:v>Total room revenue</x:v>
      </x:c>
      <x:c r="D38" s="245" t="n">
        <x:f>J106</x:f>
        <x:v>1784860</x:v>
      </x:c>
      <x:c r="E38" s="245" t="n">
        <x:f>J73</x:f>
        <x:v>1883051.7399999998</x:v>
      </x:c>
      <x:c r="F38" s="245" t="n">
        <x:f>D38-E38</x:f>
        <x:v>-98191.73999999976</x:v>
      </x:c>
      <x:c r="G38" s="265" t="n">
        <x:f>IF(E38=0,"n.a.",F38/ABS(E38))</x:f>
        <x:v>-0.05214500372676949</x:v>
      </x:c>
      <x:c r="H38" s="245" t="n">
        <x:f>H36+H37</x:f>
        <x:v>1775575</x:v>
      </x:c>
      <x:c r="I38" s="245" t="n">
        <x:f>D38-H38</x:f>
        <x:v>9285</x:v>
      </x:c>
      <x:c r="J38" s="265" t="n">
        <x:f>IF(H38=0,"n.a.",I38/ABS(H38))</x:f>
        <x:v>0.005229291919519029</x:v>
      </x:c>
      <x:c r="K38" s="171"/>
      <x:c r="L38" s="171"/>
      <x:c r="M38" s="171"/>
      <x:c r="N38" s="171"/>
    </x:row>
    <x:row r="39" ht="18" customHeight="1">
      <x:c r="C39" s="231" t="str">
        <x:v>Housekeeping payroll</x:v>
      </x:c>
      <x:c r="D39" s="242" t="n">
        <x:f>J110</x:f>
        <x:v>151330.48</x:v>
      </x:c>
      <x:c r="E39" s="242" t="n">
        <x:f>J77</x:f>
        <x:v>141578.36000000002</x:v>
      </x:c>
      <x:c r="F39" s="242" t="n">
        <x:f>D39-E39</x:f>
        <x:v>9752.119999999995</x:v>
      </x:c>
      <x:c r="G39" s="260" t="n">
        <x:f>IF(E39=0,"n.a.",F39/ABS(E39))</x:f>
        <x:v>0.06888143074972754</x:v>
      </x:c>
      <x:c r="H39" s="242" t="n">
        <x:f>SUM(Data!$F$200,Data!$F$201,Data!$F$202,Data!$F$203,Data!$F$204,Data!$F$205)</x:f>
        <x:v>133869.13</x:v>
      </x:c>
      <x:c r="I39" s="242" t="n">
        <x:f>D39-H39</x:f>
        <x:v>17461.350000000006</x:v>
      </x:c>
      <x:c r="J39" s="260" t="n">
        <x:f>IF(H39=0,"n.a.",I39/ABS(H39))</x:f>
        <x:v>0.13043597131018933</x:v>
      </x:c>
      <x:c r="K39" s="171"/>
      <x:c r="L39" s="171"/>
      <x:c r="M39" s="171"/>
      <x:c r="N39" s="171"/>
    </x:row>
    <x:row r="40" ht="18" customHeight="1">
      <x:c r="C40" s="231" t="str">
        <x:v>Guest-service expense</x:v>
      </x:c>
      <x:c r="D40" s="242" t="n">
        <x:f>J112</x:f>
        <x:v>222931.7</x:v>
      </x:c>
      <x:c r="E40" s="242" t="n">
        <x:f>J79</x:f>
        <x:v>231581.3</x:v>
      </x:c>
      <x:c r="F40" s="242" t="n">
        <x:f>D40-E40</x:f>
        <x:v>-8649.599999999977</x:v>
      </x:c>
      <x:c r="G40" s="260" t="n">
        <x:f>IF(E40=0,"n.a.",F40/ABS(E40))</x:f>
        <x:v>-0.03735016601081338</x:v>
      </x:c>
      <x:c r="H40" s="242" t="n">
        <x:f>SUM(Data!$G$10,Data!$G$18,Data!$G$26,Data!$G$34,Data!$G$42,Data!$G$50)</x:f>
        <x:v>215540</x:v>
      </x:c>
      <x:c r="I40" s="242" t="n">
        <x:f>D40-H40</x:f>
        <x:v>7391.700000000012</x:v>
      </x:c>
      <x:c r="J40" s="260" t="n">
        <x:f>IF(H40=0,"n.a.",I40/ABS(H40))</x:f>
        <x:v>0.034293866567690505</x:v>
      </x:c>
      <x:c r="K40" s="171"/>
      <x:c r="L40" s="171"/>
      <x:c r="M40" s="171"/>
      <x:c r="N40" s="171"/>
    </x:row>
    <x:row r="41" ht="18" customHeight="1">
      <x:c r="C41" s="231" t="str">
        <x:v>Distribution and payment expense</x:v>
      </x:c>
      <x:c r="D41" s="242" t="n">
        <x:f>J114</x:f>
        <x:v>71394.4</x:v>
      </x:c>
      <x:c r="E41" s="242" t="n">
        <x:f>J81</x:f>
        <x:v>75322.06959999999</x:v>
      </x:c>
      <x:c r="F41" s="242" t="n">
        <x:f>D41-E41</x:f>
        <x:v>-3927.669599999994</x:v>
      </x:c>
      <x:c r="G41" s="260" t="n">
        <x:f>IF(E41=0,"n.a.",F41/ABS(E41))</x:f>
        <x:v>-0.052145003726769536</x:v>
      </x:c>
      <x:c r="H41" s="242" t="n">
        <x:f>SUM(Data!$G$11,Data!$G$19,Data!$G$27,Data!$G$35,Data!$G$43,Data!$G$51)</x:f>
        <x:v>71023</x:v>
      </x:c>
      <x:c r="I41" s="242" t="n">
        <x:f>D41-H41</x:f>
        <x:v>371.3999999999942</x:v>
      </x:c>
      <x:c r="J41" s="260" t="n">
        <x:f>IF(H41=0,"n.a.",I41/ABS(H41))</x:f>
        <x:v>0.005229291919518947</x:v>
      </x:c>
      <x:c r="K41" s="171"/>
      <x:c r="L41" s="171"/>
      <x:c r="M41" s="171"/>
      <x:c r="N41" s="171"/>
    </x:row>
    <x:row r="42" ht="18" customHeight="1">
      <x:c r="C42" s="231" t="str">
        <x:v>Fixed-staff payroll</x:v>
      </x:c>
      <x:c r="D42" s="242" t="n">
        <x:f>J117</x:f>
        <x:v>180800</x:v>
      </x:c>
      <x:c r="E42" s="242" t="n">
        <x:f>J84</x:f>
        <x:v>180000</x:v>
      </x:c>
      <x:c r="F42" s="242" t="n">
        <x:f>D42-E42</x:f>
        <x:v>800</x:v>
      </x:c>
      <x:c r="G42" s="260" t="n">
        <x:f>IF(E42=0,"n.a.",F42/ABS(E42))</x:f>
        <x:v>0.0044444444444444444</x:v>
      </x:c>
      <x:c r="H42" s="242" t="n">
        <x:f>SUM(Data!$H$200,Data!$H$201,Data!$H$202,Data!$H$203,Data!$H$204,Data!$H$205)</x:f>
        <x:v>173172</x:v>
      </x:c>
      <x:c r="I42" s="242" t="n">
        <x:f>D42-H42</x:f>
        <x:v>7628</x:v>
      </x:c>
      <x:c r="J42" s="260" t="n">
        <x:f>IF(H42=0,"n.a.",I42/ABS(H42))</x:f>
        <x:v>0.0440486914743723</x:v>
      </x:c>
      <x:c r="K42" s="171"/>
      <x:c r="L42" s="171"/>
      <x:c r="M42" s="171"/>
      <x:c r="N42" s="171"/>
    </x:row>
    <x:row r="43" ht="18" customHeight="1">
      <x:c r="C43" s="231" t="str">
        <x:v>Rent</x:v>
      </x:c>
      <x:c r="D43" s="242" t="n">
        <x:f>J118</x:f>
        <x:v>468000</x:v>
      </x:c>
      <x:c r="E43" s="242" t="n">
        <x:f>J85</x:f>
        <x:v>468000</x:v>
      </x:c>
      <x:c r="F43" s="242" t="n">
        <x:f>D43-E43</x:f>
        <x:v>0</x:v>
      </x:c>
      <x:c r="G43" s="260" t="n">
        <x:f>IF(E43=0,"n.a.",F43/ABS(E43))</x:f>
        <x:v>0</x:v>
      </x:c>
      <x:c r="H43" s="242" t="n">
        <x:f>SUM(Data!$G$13,Data!$G$21,Data!$G$29,Data!$G$37,Data!$G$45,Data!$G$53)</x:f>
        <x:v>456000</x:v>
      </x:c>
      <x:c r="I43" s="242" t="n">
        <x:f>D43-H43</x:f>
        <x:v>12000</x:v>
      </x:c>
      <x:c r="J43" s="260" t="n">
        <x:f>IF(H43=0,"n.a.",I43/ABS(H43))</x:f>
        <x:v>0.02631578947368421</x:v>
      </x:c>
      <x:c r="K43" s="171"/>
      <x:c r="L43" s="171"/>
      <x:c r="M43" s="171"/>
      <x:c r="N43" s="171"/>
    </x:row>
    <x:row r="44" ht="18" customHeight="1">
      <x:c r="C44" s="231" t="str">
        <x:v>Property overhead</x:v>
      </x:c>
      <x:c r="D44" s="242" t="n">
        <x:f>J119</x:f>
        <x:v>173060</x:v>
      </x:c>
      <x:c r="E44" s="242" t="n">
        <x:f>J86</x:f>
        <x:v>171300</x:v>
      </x:c>
      <x:c r="F44" s="242" t="n">
        <x:f>D44-E44</x:f>
        <x:v>1760</x:v>
      </x:c>
      <x:c r="G44" s="260" t="n">
        <x:f>IF(E44=0,"n.a.",F44/ABS(E44))</x:f>
        <x:v>0.010274372446001167</x:v>
      </x:c>
      <x:c r="H44" s="242" t="n">
        <x:f>SUM(Data!$G$14,Data!$G$22,Data!$G$30,Data!$G$38,Data!$G$46,Data!$G$54)</x:f>
        <x:v>163600</x:v>
      </x:c>
      <x:c r="I44" s="242" t="n">
        <x:f>D44-H44</x:f>
        <x:v>9460</x:v>
      </x:c>
      <x:c r="J44" s="260" t="n">
        <x:f>IF(H44=0,"n.a.",I44/ABS(H44))</x:f>
        <x:v>0.0578239608801956</x:v>
      </x:c>
      <x:c r="K44" s="171"/>
      <x:c r="L44" s="171"/>
      <x:c r="M44" s="171"/>
      <x:c r="N44" s="171"/>
    </x:row>
    <x:row r="45" ht="18" customHeight="1">
      <x:c r="C45" s="231" t="str">
        <x:v>Marketing</x:v>
      </x:c>
      <x:c r="D45" s="242" t="n">
        <x:f>J120</x:f>
        <x:v>63600</x:v>
      </x:c>
      <x:c r="E45" s="242" t="n">
        <x:f>J87</x:f>
        <x:v>81000</x:v>
      </x:c>
      <x:c r="F45" s="242" t="n">
        <x:f>D45-E45</x:f>
        <x:v>-17400</x:v>
      </x:c>
      <x:c r="G45" s="260" t="n">
        <x:f>IF(E45=0,"n.a.",F45/ABS(E45))</x:f>
        <x:v>-0.21481481481481482</x:v>
      </x:c>
      <x:c r="H45" s="242" t="n">
        <x:f>SUM(Data!$G$15,Data!$G$23,Data!$G$31,Data!$G$39,Data!$G$47,Data!$G$55)</x:f>
        <x:v>70500</x:v>
      </x:c>
      <x:c r="I45" s="242" t="n">
        <x:f>D45-H45</x:f>
        <x:v>-6900</x:v>
      </x:c>
      <x:c r="J45" s="260" t="n">
        <x:f>IF(H45=0,"n.a.",I45/ABS(H45))</x:f>
        <x:v>-0.09787234042553192</x:v>
      </x:c>
      <x:c r="K45" s="171"/>
      <x:c r="L45" s="171"/>
      <x:c r="M45" s="171"/>
      <x:c r="N45" s="171"/>
    </x:row>
    <x:row r="46" ht="18" customHeight="1">
      <x:c r="C46" s="243" t="str">
        <x:v>Total operating costs</x:v>
      </x:c>
      <x:c r="D46" s="245" t="n">
        <x:f>J121</x:f>
        <x:v>1331116.58</x:v>
      </x:c>
      <x:c r="E46" s="245" t="n">
        <x:f>J88</x:f>
        <x:v>1348781.7296</x:v>
      </x:c>
      <x:c r="F46" s="245" t="n">
        <x:f>D46-E46</x:f>
        <x:v>-17665.149599999888</x:v>
      </x:c>
      <x:c r="G46" s="265" t="n">
        <x:f>IF(E46=0,"n.a.",F46/ABS(E46))</x:f>
        <x:v>-0.013097115131622324</x:v>
      </x:c>
      <x:c r="H46" s="245" t="n">
        <x:f>SUM(H39,H40,H41,H42,H43,H44,H45)</x:f>
        <x:v>1283704.13</x:v>
      </x:c>
      <x:c r="I46" s="245" t="n">
        <x:f>D46-H46</x:f>
        <x:v>47412.450000000186</x:v>
      </x:c>
      <x:c r="J46" s="265" t="n">
        <x:f>IF(H46=0,"n.a.",I46/ABS(H46))</x:f>
        <x:v>0.03693409477462707</x:v>
      </x:c>
      <x:c r="K46" s="171"/>
      <x:c r="L46" s="171"/>
      <x:c r="M46" s="171"/>
      <x:c r="N46" s="171"/>
    </x:row>
    <x:row r="47" ht="18" customHeight="1">
      <x:c r="C47" s="243" t="str">
        <x:v>Property operating contribution</x:v>
      </x:c>
      <x:c r="D47" s="245" t="n">
        <x:f>J122</x:f>
        <x:v>453743.42000000004</x:v>
      </x:c>
      <x:c r="E47" s="245" t="n">
        <x:f>J89</x:f>
        <x:v>534270.0103999999</x:v>
      </x:c>
      <x:c r="F47" s="245" t="n">
        <x:f>D47-E47</x:f>
        <x:v>-80526.59039999987</x:v>
      </x:c>
      <x:c r="G47" s="265" t="n">
        <x:f>IF(E47=0,"n.a.",F47/ABS(E47))</x:f>
        <x:v>-0.1507226474113919</x:v>
      </x:c>
      <x:c r="H47" s="245" t="n">
        <x:f>H38-H46</x:f>
        <x:v>491870.8700000001</x:v>
      </x:c>
      <x:c r="I47" s="245" t="n">
        <x:f>D47-H47</x:f>
        <x:v>-38127.45000000007</x:v>
      </x:c>
      <x:c r="J47" s="265" t="n">
        <x:f>IF(H47=0,"n.a.",I47/ABS(H47))</x:f>
        <x:v>-0.0775151616520817</x:v>
      </x:c>
      <x:c r="K47" s="171"/>
      <x:c r="L47" s="171"/>
      <x:c r="M47" s="171"/>
      <x:c r="N47" s="171"/>
    </x:row>
    <x:row r="48" ht="18" customHeight="1">
      <x:c r="C48" s="252" t="str">
        <x:v>Contribution margin</x:v>
      </x:c>
      <x:c r="D48" s="254" t="n">
        <x:f>J123</x:f>
        <x:v>0.25421793305917556</x:v>
      </x:c>
      <x:c r="E48" s="254" t="n">
        <x:f>J90</x:f>
        <x:v>0.28372561361484416</x:v>
      </x:c>
      <x:c r="F48" s="256" t="n">
        <x:f>(D48-E48)*100</x:f>
        <x:v>-2.9507680555668605</x:v>
      </x:c>
      <x:c r="G48" s="254" t="str">
        <x:v>n.a.</x:v>
      </x:c>
      <x:c r="H48" s="254" t="n">
        <x:f>H47/H38</x:f>
        <x:v>0.2770206102248568</x:v>
      </x:c>
      <x:c r="I48" s="256" t="n">
        <x:f>(D48-H48)*100</x:f>
        <x:v>-2.280267716568124</x:v>
      </x:c>
      <x:c r="J48" s="254" t="str">
        <x:v>n.a.</x:v>
      </x:c>
      <x:c r="K48" s="171"/>
      <x:c r="L48" s="171"/>
      <x:c r="M48" s="171"/>
      <x:c r="N48" s="171"/>
    </x:row>
    <x:row r="49" ht="24" customHeight="1">
      <x:c r="C49" s="431" t="str">
        <x:v>Labor and unit metrics</x:v>
      </x:c>
      <x:c r="D49" s="432"/>
      <x:c r="E49" s="432"/>
      <x:c r="F49" s="432"/>
      <x:c r="G49" s="432"/>
      <x:c r="H49" s="432"/>
      <x:c r="I49" s="432"/>
      <x:c r="J49" s="433"/>
      <x:c r="K49" s="171"/>
      <x:c r="L49" s="171"/>
      <x:c r="M49" s="171"/>
      <x:c r="N49" s="171"/>
    </x:row>
    <x:row r="50" ht="18" customHeight="1">
      <x:c r="C50" s="228" t="str">
        <x:v>Housekeeping hours</x:v>
      </x:c>
      <x:c r="D50" s="266" t="n">
        <x:f>J107</x:f>
        <x:v>6664.379999999999</x:v>
      </x:c>
      <x:c r="E50" s="266" t="n">
        <x:f>J74</x:f>
        <x:v>6435.380000000001</x:v>
      </x:c>
      <x:c r="F50" s="266" t="n">
        <x:f>D50-E50</x:f>
        <x:v>228.99999999999818</x:v>
      </x:c>
      <x:c r="G50" s="259" t="n">
        <x:f>IF(E50=0,"n.a.",F50/ABS(E50))</x:f>
        <x:v>0.03558453424661763</x:v>
      </x:c>
      <x:c r="H50" s="266" t="n">
        <x:f>SUM(Data!$E$200,Data!$E$201,Data!$E$202,Data!$E$203,Data!$E$204,Data!$E$205)</x:f>
        <x:v>6334.58</x:v>
      </x:c>
      <x:c r="I50" s="266" t="n">
        <x:f>D50-H50</x:f>
        <x:v>329.7999999999993</x:v>
      </x:c>
      <x:c r="J50" s="259" t="n">
        <x:f>IF(H50=0,"n.a.",I50/ABS(H50))</x:f>
        <x:v>0.05206343593418968</x:v>
      </x:c>
      <x:c r="K50" s="171"/>
      <x:c r="L50" s="171"/>
      <x:c r="M50" s="171"/>
      <x:c r="N50" s="171"/>
    </x:row>
    <x:row r="51" ht="18" customHeight="1">
      <x:c r="C51" s="234" t="str">
        <x:v>Housekeeping hours per occupied room</x:v>
      </x:c>
      <x:c r="D51" s="247" t="n">
        <x:f>J108</x:f>
        <x:v>0.5776027041081643</x:v>
      </x:c>
      <x:c r="E51" s="247" t="n">
        <x:f>J75</x:f>
        <x:v>0.5328183474085114</x:v>
      </x:c>
      <x:c r="F51" s="247" t="n">
        <x:f>D51-E51</x:f>
        <x:v>0.04478435669965286</x:v>
      </x:c>
      <x:c r="G51" s="236" t="n">
        <x:f>IF(E51=0,"n.a.",F51/ABS(E51))</x:f>
        <x:v>0.08405182914115518</x:v>
      </x:c>
      <x:c r="H51" s="247" t="n">
        <x:f>H50/H26</x:f>
        <x:v>0.5462728527078303</x:v>
      </x:c>
      <x:c r="I51" s="247" t="n">
        <x:f>D51-H51</x:f>
        <x:v>0.03132985140033395</x:v>
      </x:c>
      <x:c r="J51" s="236" t="n">
        <x:f>IF(H51=0,"n.a.",I51/ABS(H51))</x:f>
        <x:v>0.05735201968216874</x:v>
      </x:c>
      <x:c r="K51" s="171"/>
      <x:c r="L51" s="171"/>
      <x:c r="M51" s="171"/>
      <x:c r="N51" s="171"/>
    </x:row>
    <x:row r="52" ht="18" customHeight="1">
      <x:c r="C52" s="234" t="str">
        <x:v>Effective housekeeping wage per hour</x:v>
      </x:c>
      <x:c r="D52" s="249" t="n">
        <x:f>J109</x:f>
        <x:v>22.707360624694275</x:v>
      </x:c>
      <x:c r="E52" s="249" t="n">
        <x:f>J76</x:f>
        <x:v>22</x:v>
      </x:c>
      <x:c r="F52" s="249" t="n">
        <x:f>D52-E52</x:f>
        <x:v>0.7073606246942745</x:v>
      </x:c>
      <x:c r="G52" s="236" t="n">
        <x:f>IF(E52=0,"n.a.",F52/ABS(E52))</x:f>
        <x:v>0.03215275566792157</x:v>
      </x:c>
      <x:c r="H52" s="249" t="n">
        <x:f>H39/H50</x:f>
        <x:v>21.133071174410933</x:v>
      </x:c>
      <x:c r="I52" s="249" t="n">
        <x:f>D52-H52</x:f>
        <x:v>1.5742894502833416</x:v>
      </x:c>
      <x:c r="J52" s="236" t="n">
        <x:f>IF(H52=0,"n.a.",I52/ABS(H52))</x:f>
        <x:v>0.07449411575301826</x:v>
      </x:c>
      <x:c r="K52" s="171"/>
      <x:c r="L52" s="171"/>
      <x:c r="M52" s="171"/>
      <x:c r="N52" s="171"/>
    </x:row>
    <x:row r="53" ht="18" customHeight="1">
      <x:c r="C53" s="234" t="str">
        <x:v>Guest-service cost per occupied room</x:v>
      </x:c>
      <x:c r="D53" s="249" t="n">
        <x:f>J111</x:f>
        <x:v>19.3215201941411</x:v>
      </x:c>
      <x:c r="E53" s="249" t="n">
        <x:f>J78</x:f>
        <x:v>19.173811889385657</x:v>
      </x:c>
      <x:c r="F53" s="249" t="n">
        <x:f>D53-E53</x:f>
        <x:v>0.14770830475544372</x:v>
      </x:c>
      <x:c r="G53" s="236" t="n">
        <x:f>IF(E53=0,"n.a.",F53/ABS(E53))</x:f>
        <x:v>0.0077036483724560205</x:v>
      </x:c>
      <x:c r="H53" s="249" t="n">
        <x:f>H40/H26</x:f>
        <x:v>18.58744394618834</x:v>
      </x:c>
      <x:c r="I53" s="249" t="n">
        <x:f>D53-H53</x:f>
        <x:v>0.7340762479527605</x:v>
      </x:c>
      <x:c r="J53" s="236" t="n">
        <x:f>IF(H53=0,"n.a.",I53/ABS(H53))</x:f>
        <x:v>0.03949312504064308</x:v>
      </x:c>
      <x:c r="K53" s="171"/>
      <x:c r="L53" s="171"/>
      <x:c r="M53" s="171"/>
      <x:c r="N53" s="171"/>
    </x:row>
    <x:row r="54" ht="18" customHeight="1">
      <x:c r="C54" s="231" t="str">
        <x:v>Average fixed-staff FTE</x:v>
      </x:c>
      <x:c r="D54" s="251" t="n">
        <x:f>J115</x:f>
        <x:v>5</x:v>
      </x:c>
      <x:c r="E54" s="251" t="n">
        <x:f>J82</x:f>
        <x:v>5</x:v>
      </x:c>
      <x:c r="F54" s="251" t="n">
        <x:f>D54-E54</x:f>
        <x:v>0</x:v>
      </x:c>
      <x:c r="G54" s="260" t="n">
        <x:f>IF(E54=0,"n.a.",F54/ABS(E54))</x:f>
        <x:v>0</x:v>
      </x:c>
      <x:c r="H54" s="251" t="n">
        <x:f>SUM(Data!$G$200,Data!$G$201,Data!$G$202,Data!$G$203,Data!$G$204,Data!$G$205)/6</x:f>
        <x:v>4.983333333333333</x:v>
      </x:c>
      <x:c r="I54" s="251" t="n">
        <x:f>D54-H54</x:f>
        <x:v>0.016666666666666607</x:v>
      </x:c>
      <x:c r="J54" s="260" t="n">
        <x:f>IF(H54=0,"n.a.",I54/ABS(H54))</x:f>
        <x:v>0.003344481605351159</x:v>
      </x:c>
      <x:c r="K54" s="171"/>
      <x:c r="L54" s="171"/>
      <x:c r="M54" s="171"/>
      <x:c r="N54" s="171"/>
    </x:row>
    <x:row r="55" ht="18" customHeight="1">
      <x:c r="C55" s="261" t="str">
        <x:v>Fixed-staff cost per FTE-month</x:v>
      </x:c>
      <x:c r="D55" s="262" t="n">
        <x:f>J116</x:f>
        <x:v>6026.666666666667</x:v>
      </x:c>
      <x:c r="E55" s="262" t="n">
        <x:f>J83</x:f>
        <x:v>6000</x:v>
      </x:c>
      <x:c r="F55" s="262" t="n">
        <x:f>D55-E55</x:f>
        <x:v>26.66666666666697</x:v>
      </x:c>
      <x:c r="G55" s="263" t="n">
        <x:f>IF(E55=0,"n.a.",F55/ABS(E55))</x:f>
        <x:v>0.004444444444444495</x:v>
      </x:c>
      <x:c r="H55" s="262" t="n">
        <x:f>H42/(H54*6)</x:f>
        <x:v>5791.705685618729</x:v>
      </x:c>
      <x:c r="I55" s="262" t="n">
        <x:f>D55-H55</x:f>
        <x:v>234.96098104793782</x:v>
      </x:c>
      <x:c r="J55" s="263" t="n">
        <x:f>IF(H55=0,"n.a.",I55/ABS(H55))</x:f>
        <x:v>0.040568529169457766</x:v>
      </x:c>
      <x:c r="K55" s="171"/>
      <x:c r="L55" s="171"/>
      <x:c r="M55" s="171"/>
      <x:c r="N55" s="171"/>
    </x:row>
    <x:row r="56" ht="18" customHeight="1">
      <x:c r="C56" s="171"/>
      <x:c r="D56" s="171"/>
      <x:c r="E56" s="171"/>
      <x:c r="F56" s="171"/>
      <x:c r="G56" s="171"/>
      <x:c r="H56" s="171"/>
      <x:c r="I56" s="171"/>
      <x:c r="J56" s="171"/>
      <x:c r="K56" s="171"/>
      <x:c r="L56" s="171"/>
      <x:c r="M56" s="171"/>
      <x:c r="N56" s="171"/>
    </x:row>
    <x:row r="57" ht="24" customHeight="1">
      <x:c r="C57" s="431" t="str">
        <x:v>Monthly actual-versus-budget detail</x:v>
      </x:c>
      <x:c r="D57" s="432"/>
      <x:c r="E57" s="432"/>
      <x:c r="F57" s="432"/>
      <x:c r="G57" s="432"/>
      <x:c r="H57" s="432"/>
      <x:c r="I57" s="432"/>
      <x:c r="J57" s="433"/>
      <x:c r="K57" s="171"/>
      <x:c r="L57" s="171"/>
      <x:c r="M57" s="171"/>
      <x:c r="N57" s="171"/>
    </x:row>
    <x:row r="58" ht="28" customHeight="1">
      <x:c r="C58" s="389" t="str">
        <x:v>Six monthly columns plus YTD. Expense variances use Actual cost minus Budget cost; positive is unfavorable. Occupancy, corporate share, distribution rate, and contribution margin variances are shown in percentage points.</x:v>
      </x:c>
      <x:c r="D58" s="389"/>
      <x:c r="E58" s="389"/>
      <x:c r="F58" s="389"/>
      <x:c r="G58" s="389"/>
      <x:c r="H58" s="389"/>
      <x:c r="I58" s="389"/>
      <x:c r="J58" s="389"/>
      <x:c r="K58" s="171"/>
      <x:c r="L58" s="171"/>
      <x:c r="M58" s="171"/>
      <x:c r="N58" s="171"/>
    </x:row>
    <x:row r="59" ht="32" customHeight="1">
      <x:c r="C59" s="438" t="str">
        <x:v>Metric</x:v>
      </x:c>
      <x:c r="D59" s="441" t="n">
        <x:v>46023</x:v>
      </x:c>
      <x:c r="E59" s="441" t="n">
        <x:v>46054</x:v>
      </x:c>
      <x:c r="F59" s="441" t="n">
        <x:v>46082</x:v>
      </x:c>
      <x:c r="G59" s="441" t="n">
        <x:v>46113</x:v>
      </x:c>
      <x:c r="H59" s="441" t="n">
        <x:v>46143</x:v>
      </x:c>
      <x:c r="I59" s="441" t="n">
        <x:v>46174</x:v>
      </x:c>
      <x:c r="J59" s="440" t="str">
        <x:v>YTD</x:v>
      </x:c>
      <x:c r="K59" s="171"/>
      <x:c r="L59" s="171"/>
      <x:c r="M59" s="171"/>
      <x:c r="N59" s="171"/>
    </x:row>
    <x:row r="60" ht="24" customHeight="1">
      <x:c r="C60" s="431" t="str">
        <x:v>Approved budget</x:v>
      </x:c>
      <x:c r="D60" s="432"/>
      <x:c r="E60" s="432"/>
      <x:c r="F60" s="432"/>
      <x:c r="G60" s="432"/>
      <x:c r="H60" s="432"/>
      <x:c r="I60" s="432"/>
      <x:c r="J60" s="433"/>
      <x:c r="K60" s="171"/>
      <x:c r="L60" s="171"/>
      <x:c r="M60" s="171"/>
      <x:c r="N60" s="171"/>
    </x:row>
    <x:row r="61" ht="18" customHeight="1">
      <x:c r="C61" s="228" t="str">
        <x:v>Available room nights</x:v>
      </x:c>
      <x:c r="D61" s="229" t="n">
        <x:f>'Budget'!D10</x:f>
        <x:v>3100</x:v>
      </x:c>
      <x:c r="E61" s="229" t="n">
        <x:f>'Budget'!E10</x:f>
        <x:v>2800</x:v>
      </x:c>
      <x:c r="F61" s="229" t="n">
        <x:f>'Budget'!F10</x:f>
        <x:v>3100</x:v>
      </x:c>
      <x:c r="G61" s="229" t="n">
        <x:f>'Budget'!G10</x:f>
        <x:v>3000</x:v>
      </x:c>
      <x:c r="H61" s="229" t="n">
        <x:f>'Budget'!H10</x:f>
        <x:v>3100</x:v>
      </x:c>
      <x:c r="I61" s="229" t="n">
        <x:f>'Budget'!I10</x:f>
        <x:v>3000</x:v>
      </x:c>
      <x:c r="J61" s="230" t="n">
        <x:f>SUM(D61:I61)</x:f>
        <x:v>18100</x:v>
      </x:c>
      <x:c r="K61" s="171"/>
      <x:c r="L61" s="171"/>
      <x:c r="M61" s="171"/>
      <x:c r="N61" s="171"/>
    </x:row>
    <x:row r="62" ht="18" customHeight="1">
      <x:c r="C62" s="231" t="str">
        <x:v>Occupied room nights</x:v>
      </x:c>
      <x:c r="D62" s="232" t="n">
        <x:f>'Budget'!D11</x:f>
        <x:v>1705</x:v>
      </x:c>
      <x:c r="E62" s="232" t="n">
        <x:f>'Budget'!E11</x:f>
        <x:v>1624</x:v>
      </x:c>
      <x:c r="F62" s="232" t="n">
        <x:f>'Budget'!F11</x:f>
        <x:v>2015</x:v>
      </x:c>
      <x:c r="G62" s="232" t="n">
        <x:f>'Budget'!G11</x:f>
        <x:v>2100</x:v>
      </x:c>
      <x:c r="H62" s="232" t="n">
        <x:f>'Budget'!H11</x:f>
        <x:v>2294</x:v>
      </x:c>
      <x:c r="I62" s="232" t="n">
        <x:f>'Budget'!I11</x:f>
        <x:v>2340</x:v>
      </x:c>
      <x:c r="J62" s="233" t="n">
        <x:f>SUM(D62:I62)</x:f>
        <x:v>12078</x:v>
      </x:c>
      <x:c r="K62" s="171"/>
      <x:c r="L62" s="171"/>
      <x:c r="M62" s="171"/>
      <x:c r="N62" s="171"/>
    </x:row>
    <x:row r="63" ht="18" customHeight="1">
      <x:c r="C63" s="234" t="str">
        <x:v>Occupancy</x:v>
      </x:c>
      <x:c r="D63" s="235" t="n">
        <x:f>'Budget'!D12</x:f>
        <x:v>0.55</x:v>
      </x:c>
      <x:c r="E63" s="235" t="n">
        <x:f>'Budget'!E12</x:f>
        <x:v>0.58</x:v>
      </x:c>
      <x:c r="F63" s="235" t="n">
        <x:f>'Budget'!F12</x:f>
        <x:v>0.65</x:v>
      </x:c>
      <x:c r="G63" s="235" t="n">
        <x:f>'Budget'!G12</x:f>
        <x:v>0.7</x:v>
      </x:c>
      <x:c r="H63" s="235" t="n">
        <x:f>'Budget'!H12</x:f>
        <x:v>0.74</x:v>
      </x:c>
      <x:c r="I63" s="235" t="n">
        <x:f>'Budget'!I12</x:f>
        <x:v>0.78</x:v>
      </x:c>
      <x:c r="J63" s="236" t="n">
        <x:f>J62/J61</x:f>
        <x:v>0.6672928176795581</x:v>
      </x:c>
      <x:c r="K63" s="171"/>
      <x:c r="L63" s="171"/>
      <x:c r="M63" s="171"/>
      <x:c r="N63" s="171"/>
    </x:row>
    <x:row r="64" ht="18" customHeight="1">
      <x:c r="C64" s="231" t="str">
        <x:v>Retail room nights</x:v>
      </x:c>
      <x:c r="D64" s="237" t="n">
        <x:f>'Budget'!D14</x:f>
        <x:v>1193.5</x:v>
      </x:c>
      <x:c r="E64" s="237" t="n">
        <x:f>'Budget'!E14</x:f>
        <x:v>1120.56</x:v>
      </x:c>
      <x:c r="F64" s="237" t="n">
        <x:f>'Budget'!F14</x:f>
        <x:v>1370.1999999999998</x:v>
      </x:c>
      <x:c r="G64" s="237" t="n">
        <x:f>'Budget'!G14</x:f>
        <x:v>1386</x:v>
      </x:c>
      <x:c r="H64" s="237" t="n">
        <x:f>'Budget'!H14</x:f>
        <x:v>1491.1</x:v>
      </x:c>
      <x:c r="I64" s="237" t="n">
        <x:f>'Budget'!I14</x:f>
        <x:v>1497.6</x:v>
      </x:c>
      <x:c r="J64" s="238" t="n">
        <x:f>SUM(D64:I64)</x:f>
        <x:v>8058.960000000001</x:v>
      </x:c>
      <x:c r="K64" s="171"/>
      <x:c r="L64" s="171"/>
      <x:c r="M64" s="171"/>
      <x:c r="N64" s="171"/>
    </x:row>
    <x:row r="65" ht="18" customHeight="1">
      <x:c r="C65" s="231" t="str">
        <x:v>Corporate room nights</x:v>
      </x:c>
      <x:c r="D65" s="237" t="n">
        <x:f>'Budget'!D15</x:f>
        <x:v>511.5</x:v>
      </x:c>
      <x:c r="E65" s="237" t="n">
        <x:f>'Budget'!E15</x:f>
        <x:v>503.44</x:v>
      </x:c>
      <x:c r="F65" s="237" t="n">
        <x:f>'Budget'!F15</x:f>
        <x:v>644.8000000000001</x:v>
      </x:c>
      <x:c r="G65" s="237" t="n">
        <x:f>'Budget'!G15</x:f>
        <x:v>714</x:v>
      </x:c>
      <x:c r="H65" s="237" t="n">
        <x:f>'Budget'!H15</x:f>
        <x:v>802.9</x:v>
      </x:c>
      <x:c r="I65" s="237" t="n">
        <x:f>'Budget'!I15</x:f>
        <x:v>842.4</x:v>
      </x:c>
      <x:c r="J65" s="238" t="n">
        <x:f>SUM(D65:I65)</x:f>
        <x:v>4019.0400000000004</x:v>
      </x:c>
      <x:c r="K65" s="171"/>
      <x:c r="L65" s="171"/>
      <x:c r="M65" s="171"/>
      <x:c r="N65" s="171"/>
    </x:row>
    <x:row r="66" ht="18" customHeight="1">
      <x:c r="C66" s="234" t="str">
        <x:v>Corporate share</x:v>
      </x:c>
      <x:c r="D66" s="235" t="n">
        <x:f>'Budget'!D13</x:f>
        <x:v>0.3</x:v>
      </x:c>
      <x:c r="E66" s="235" t="n">
        <x:f>'Budget'!E13</x:f>
        <x:v>0.31</x:v>
      </x:c>
      <x:c r="F66" s="235" t="n">
        <x:f>'Budget'!F13</x:f>
        <x:v>0.32</x:v>
      </x:c>
      <x:c r="G66" s="235" t="n">
        <x:f>'Budget'!G13</x:f>
        <x:v>0.34</x:v>
      </x:c>
      <x:c r="H66" s="235" t="n">
        <x:f>'Budget'!H13</x:f>
        <x:v>0.35</x:v>
      </x:c>
      <x:c r="I66" s="235" t="n">
        <x:f>'Budget'!I13</x:f>
        <x:v>0.36</x:v>
      </x:c>
      <x:c r="J66" s="236" t="n">
        <x:f>J65/J62</x:f>
        <x:v>0.33275707898658724</x:v>
      </x:c>
      <x:c r="K66" s="171"/>
      <x:c r="L66" s="171"/>
      <x:c r="M66" s="171"/>
      <x:c r="N66" s="171"/>
    </x:row>
    <x:row r="67" ht="18" customHeight="1">
      <x:c r="C67" s="231" t="str">
        <x:v>Retail ADR</x:v>
      </x:c>
      <x:c r="D67" s="239" t="n">
        <x:f>'Budget'!D16</x:f>
        <x:v>150</x:v>
      </x:c>
      <x:c r="E67" s="239" t="n">
        <x:f>'Budget'!E16</x:f>
        <x:v>152</x:v>
      </x:c>
      <x:c r="F67" s="239" t="n">
        <x:f>'Budget'!F16</x:f>
        <x:v>158</x:v>
      </x:c>
      <x:c r="G67" s="239" t="n">
        <x:f>'Budget'!G16</x:f>
        <x:v>164</x:v>
      </x:c>
      <x:c r="H67" s="239" t="n">
        <x:f>'Budget'!H16</x:f>
        <x:v>172</x:v>
      </x:c>
      <x:c r="I67" s="239" t="n">
        <x:f>'Budget'!I16</x:f>
        <x:v>180</x:v>
      </x:c>
      <x:c r="J67" s="240" t="n">
        <x:f>J71/J64</x:f>
        <x:v>163.69145894755647</x:v>
      </x:c>
      <x:c r="K67" s="171"/>
      <x:c r="L67" s="171"/>
      <x:c r="M67" s="171"/>
      <x:c r="N67" s="171"/>
    </x:row>
    <x:row r="68" ht="18" customHeight="1">
      <x:c r="C68" s="231" t="str">
        <x:v>Corporate ADR</x:v>
      </x:c>
      <x:c r="D68" s="239" t="n">
        <x:f>'Budget'!D17</x:f>
        <x:v>132</x:v>
      </x:c>
      <x:c r="E68" s="239" t="n">
        <x:f>'Budget'!E17</x:f>
        <x:v>133</x:v>
      </x:c>
      <x:c r="F68" s="239" t="n">
        <x:f>'Budget'!F17</x:f>
        <x:v>137</x:v>
      </x:c>
      <x:c r="G68" s="239" t="n">
        <x:f>'Budget'!G17</x:f>
        <x:v>140</x:v>
      </x:c>
      <x:c r="H68" s="239" t="n">
        <x:f>'Budget'!H17</x:f>
        <x:v>145</x:v>
      </x:c>
      <x:c r="I68" s="239" t="n">
        <x:f>'Budget'!I17</x:f>
        <x:v>148</x:v>
      </x:c>
      <x:c r="J68" s="240" t="n">
        <x:f>J72/J65</x:f>
        <x:v>140.29937995143115</x:v>
      </x:c>
      <x:c r="K68" s="171"/>
      <x:c r="L68" s="171"/>
      <x:c r="M68" s="171"/>
      <x:c r="N68" s="171"/>
    </x:row>
    <x:row r="69" ht="18" customHeight="1">
      <x:c r="C69" s="231" t="str">
        <x:v>Blended ADR</x:v>
      </x:c>
      <x:c r="D69" s="239" t="n">
        <x:f>'Budget'!D24</x:f>
        <x:v>144.6</x:v>
      </x:c>
      <x:c r="E69" s="239" t="n">
        <x:f>'Budget'!E24</x:f>
        <x:v>146.11</x:v>
      </x:c>
      <x:c r="F69" s="239" t="n">
        <x:f>'Budget'!F24</x:f>
        <x:v>151.27999999999997</x:v>
      </x:c>
      <x:c r="G69" s="239" t="n">
        <x:f>'Budget'!G24</x:f>
        <x:v>155.84</x:v>
      </x:c>
      <x:c r="H69" s="239" t="n">
        <x:f>'Budget'!H24</x:f>
        <x:v>162.54999999999998</x:v>
      </x:c>
      <x:c r="I69" s="239" t="n">
        <x:f>'Budget'!I24</x:f>
        <x:v>168.48000000000002</x:v>
      </x:c>
      <x:c r="J69" s="240" t="n">
        <x:f>J73/J62</x:f>
        <x:v>155.90757906938234</x:v>
      </x:c>
      <x:c r="K69" s="171"/>
      <x:c r="L69" s="171"/>
      <x:c r="M69" s="171"/>
      <x:c r="N69" s="171"/>
    </x:row>
    <x:row r="70" ht="18" customHeight="1">
      <x:c r="C70" s="231" t="str">
        <x:v>RevPAR</x:v>
      </x:c>
      <x:c r="D70" s="239" t="n">
        <x:f>'Budget'!D25</x:f>
        <x:v>79.53</x:v>
      </x:c>
      <x:c r="E70" s="239" t="n">
        <x:f>'Budget'!E25</x:f>
        <x:v>84.74380000000001</x:v>
      </x:c>
      <x:c r="F70" s="239" t="n">
        <x:f>'Budget'!F25</x:f>
        <x:v>98.33199999999998</x:v>
      </x:c>
      <x:c r="G70" s="239" t="n">
        <x:f>'Budget'!G25</x:f>
        <x:v>109.088</x:v>
      </x:c>
      <x:c r="H70" s="239" t="n">
        <x:f>'Budget'!H25</x:f>
        <x:v>120.28699999999999</x:v>
      </x:c>
      <x:c r="I70" s="239" t="n">
        <x:f>'Budget'!I25</x:f>
        <x:v>131.4144</x:v>
      </x:c>
      <x:c r="J70" s="240" t="n">
        <x:f>J73/J61</x:f>
        <x:v>104.03600773480662</x:v>
      </x:c>
      <x:c r="K70" s="171"/>
      <x:c r="L70" s="171"/>
      <x:c r="M70" s="171"/>
      <x:c r="N70" s="171"/>
    </x:row>
    <x:row r="71" ht="18" customHeight="1">
      <x:c r="C71" s="231" t="str">
        <x:v>Retail room revenue</x:v>
      </x:c>
      <x:c r="D71" s="241" t="n">
        <x:f>'Budget'!D21</x:f>
        <x:v>179025</x:v>
      </x:c>
      <x:c r="E71" s="241" t="n">
        <x:f>'Budget'!E21</x:f>
        <x:v>170325.12</x:v>
      </x:c>
      <x:c r="F71" s="241" t="n">
        <x:f>'Budget'!F21</x:f>
        <x:v>216491.59999999998</x:v>
      </x:c>
      <x:c r="G71" s="241" t="n">
        <x:f>'Budget'!G21</x:f>
        <x:v>227304</x:v>
      </x:c>
      <x:c r="H71" s="241" t="n">
        <x:f>'Budget'!H21</x:f>
        <x:v>256469.19999999998</x:v>
      </x:c>
      <x:c r="I71" s="241" t="n">
        <x:f>'Budget'!I21</x:f>
        <x:v>269568</x:v>
      </x:c>
      <x:c r="J71" s="242" t="n">
        <x:f>SUM(D71:I71)</x:f>
        <x:v>1319182.92</x:v>
      </x:c>
      <x:c r="K71" s="171"/>
      <x:c r="L71" s="171"/>
      <x:c r="M71" s="171"/>
      <x:c r="N71" s="171"/>
    </x:row>
    <x:row r="72" ht="18" customHeight="1">
      <x:c r="C72" s="231" t="str">
        <x:v>Corporate room revenue</x:v>
      </x:c>
      <x:c r="D72" s="241" t="n">
        <x:f>'Budget'!D22</x:f>
        <x:v>67518</x:v>
      </x:c>
      <x:c r="E72" s="241" t="n">
        <x:f>'Budget'!E22</x:f>
        <x:v>66957.52</x:v>
      </x:c>
      <x:c r="F72" s="241" t="n">
        <x:f>'Budget'!F22</x:f>
        <x:v>88337.6</x:v>
      </x:c>
      <x:c r="G72" s="241" t="n">
        <x:f>'Budget'!G22</x:f>
        <x:v>99960</x:v>
      </x:c>
      <x:c r="H72" s="241" t="n">
        <x:f>'Budget'!H22</x:f>
        <x:v>116420.5</x:v>
      </x:c>
      <x:c r="I72" s="241" t="n">
        <x:f>'Budget'!I22</x:f>
        <x:v>124675.2</x:v>
      </x:c>
      <x:c r="J72" s="242" t="n">
        <x:f>SUM(D72:I72)</x:f>
        <x:v>563868.82</x:v>
      </x:c>
      <x:c r="K72" s="171"/>
      <x:c r="L72" s="171"/>
      <x:c r="M72" s="171"/>
      <x:c r="N72" s="171"/>
    </x:row>
    <x:row r="73" ht="18" customHeight="1">
      <x:c r="C73" s="243" t="str">
        <x:v>Total room revenue</x:v>
      </x:c>
      <x:c r="D73" s="244" t="n">
        <x:f>'Budget'!D23</x:f>
        <x:v>246543</x:v>
      </x:c>
      <x:c r="E73" s="244" t="n">
        <x:f>'Budget'!E23</x:f>
        <x:v>237282.64</x:v>
      </x:c>
      <x:c r="F73" s="244" t="n">
        <x:f>'Budget'!F23</x:f>
        <x:v>304829.19999999995</x:v>
      </x:c>
      <x:c r="G73" s="244" t="n">
        <x:f>'Budget'!G23</x:f>
        <x:v>327264</x:v>
      </x:c>
      <x:c r="H73" s="244" t="n">
        <x:f>'Budget'!H23</x:f>
        <x:v>372889.69999999995</x:v>
      </x:c>
      <x:c r="I73" s="244" t="n">
        <x:f>'Budget'!I23</x:f>
        <x:v>394243.2</x:v>
      </x:c>
      <x:c r="J73" s="245" t="n">
        <x:f>SUM(D73:I73)</x:f>
        <x:v>1883051.7399999998</x:v>
      </x:c>
      <x:c r="K73" s="171"/>
      <x:c r="L73" s="171"/>
      <x:c r="M73" s="171"/>
      <x:c r="N73" s="171"/>
    </x:row>
    <x:row r="74" ht="18" customHeight="1">
      <x:c r="C74" s="231" t="str">
        <x:v>Housekeeping hours</x:v>
      </x:c>
      <x:c r="D74" s="237" t="n">
        <x:f>'Budget'!D31</x:f>
        <x:v>954.8000000000001</x:v>
      </x:c>
      <x:c r="E74" s="237" t="n">
        <x:f>'Budget'!E31</x:f>
        <x:v>893.2</x:v>
      </x:c>
      <x:c r="F74" s="237" t="n">
        <x:f>'Budget'!F31</x:f>
        <x:v>1088.1000000000001</x:v>
      </x:c>
      <x:c r="G74" s="237" t="n">
        <x:f>'Budget'!G31</x:f>
        <x:v>1113</x:v>
      </x:c>
      <x:c r="H74" s="237" t="n">
        <x:f>'Budget'!H31</x:f>
        <x:v>1192.88</x:v>
      </x:c>
      <x:c r="I74" s="237" t="n">
        <x:f>'Budget'!I31</x:f>
        <x:v>1193.4</x:v>
      </x:c>
      <x:c r="J74" s="238" t="n">
        <x:f>SUM(D74:I74)</x:f>
        <x:v>6435.380000000001</x:v>
      </x:c>
      <x:c r="K74" s="171"/>
      <x:c r="L74" s="171"/>
      <x:c r="M74" s="171"/>
      <x:c r="N74" s="171"/>
    </x:row>
    <x:row r="75" ht="18" customHeight="1">
      <x:c r="C75" s="234" t="str">
        <x:v>Housekeeping hours per occupied room</x:v>
      </x:c>
      <x:c r="D75" s="246" t="n">
        <x:f>'Budget'!D29</x:f>
        <x:v>0.56</x:v>
      </x:c>
      <x:c r="E75" s="246" t="n">
        <x:f>'Budget'!E29</x:f>
        <x:v>0.55</x:v>
      </x:c>
      <x:c r="F75" s="246" t="n">
        <x:f>'Budget'!F29</x:f>
        <x:v>0.54</x:v>
      </x:c>
      <x:c r="G75" s="246" t="n">
        <x:f>'Budget'!G29</x:f>
        <x:v>0.53</x:v>
      </x:c>
      <x:c r="H75" s="246" t="n">
        <x:f>'Budget'!H29</x:f>
        <x:v>0.52</x:v>
      </x:c>
      <x:c r="I75" s="246" t="n">
        <x:f>'Budget'!I29</x:f>
        <x:v>0.51</x:v>
      </x:c>
      <x:c r="J75" s="247" t="n">
        <x:f>J74/J62</x:f>
        <x:v>0.5328183474085114</x:v>
      </x:c>
      <x:c r="K75" s="171"/>
      <x:c r="L75" s="171"/>
      <x:c r="M75" s="171"/>
      <x:c r="N75" s="171"/>
    </x:row>
    <x:row r="76" ht="18" customHeight="1">
      <x:c r="C76" s="234" t="str">
        <x:v>Effective housekeeping wage per hour</x:v>
      </x:c>
      <x:c r="D76" s="248" t="n">
        <x:f>'Budget'!D30</x:f>
        <x:v>22</x:v>
      </x:c>
      <x:c r="E76" s="248" t="n">
        <x:f>'Budget'!E30</x:f>
        <x:v>22</x:v>
      </x:c>
      <x:c r="F76" s="248" t="n">
        <x:f>'Budget'!F30</x:f>
        <x:v>22</x:v>
      </x:c>
      <x:c r="G76" s="248" t="n">
        <x:f>'Budget'!G30</x:f>
        <x:v>22</x:v>
      </x:c>
      <x:c r="H76" s="248" t="n">
        <x:f>'Budget'!H30</x:f>
        <x:v>22</x:v>
      </x:c>
      <x:c r="I76" s="248" t="n">
        <x:f>'Budget'!I30</x:f>
        <x:v>22</x:v>
      </x:c>
      <x:c r="J76" s="249" t="n">
        <x:f>J77/J74</x:f>
        <x:v>22</x:v>
      </x:c>
      <x:c r="K76" s="171"/>
      <x:c r="L76" s="171"/>
      <x:c r="M76" s="171"/>
      <x:c r="N76" s="171"/>
    </x:row>
    <x:row r="77" ht="18" customHeight="1">
      <x:c r="C77" s="231" t="str">
        <x:v>Housekeeping payroll</x:v>
      </x:c>
      <x:c r="D77" s="241" t="n">
        <x:f>'Budget'!D32</x:f>
        <x:v>21005.600000000002</x:v>
      </x:c>
      <x:c r="E77" s="241" t="n">
        <x:f>'Budget'!E32</x:f>
        <x:v>19650.4</x:v>
      </x:c>
      <x:c r="F77" s="241" t="n">
        <x:f>'Budget'!F32</x:f>
        <x:v>23938.200000000004</x:v>
      </x:c>
      <x:c r="G77" s="241" t="n">
        <x:f>'Budget'!G32</x:f>
        <x:v>24486</x:v>
      </x:c>
      <x:c r="H77" s="241" t="n">
        <x:f>'Budget'!H32</x:f>
        <x:v>26243.36</x:v>
      </x:c>
      <x:c r="I77" s="241" t="n">
        <x:f>'Budget'!I32</x:f>
        <x:v>26254.800000000003</x:v>
      </x:c>
      <x:c r="J77" s="242" t="n">
        <x:f>SUM(D77:I77)</x:f>
        <x:v>141578.36000000002</x:v>
      </x:c>
      <x:c r="K77" s="171"/>
      <x:c r="L77" s="171"/>
      <x:c r="M77" s="171"/>
      <x:c r="N77" s="171"/>
    </x:row>
    <x:row r="78" ht="18" customHeight="1">
      <x:c r="C78" s="234" t="str">
        <x:v>Guest-service cost per occupied room</x:v>
      </x:c>
      <x:c r="D78" s="248" t="n">
        <x:f>'Budget'!D33</x:f>
        <x:v>18.5</x:v>
      </x:c>
      <x:c r="E78" s="248" t="n">
        <x:f>'Budget'!E33</x:f>
        <x:v>18.7</x:v>
      </x:c>
      <x:c r="F78" s="248" t="n">
        <x:f>'Budget'!F33</x:f>
        <x:v>19</x:v>
      </x:c>
      <x:c r="G78" s="248" t="n">
        <x:f>'Budget'!G33</x:f>
        <x:v>19.2</x:v>
      </x:c>
      <x:c r="H78" s="248" t="n">
        <x:f>'Budget'!H33</x:f>
        <x:v>19.5</x:v>
      </x:c>
      <x:c r="I78" s="248" t="n">
        <x:f>'Budget'!I33</x:f>
        <x:v>19.8</x:v>
      </x:c>
      <x:c r="J78" s="249" t="n">
        <x:f>J79/J62</x:f>
        <x:v>19.173811889385657</x:v>
      </x:c>
      <x:c r="K78" s="171"/>
      <x:c r="L78" s="171"/>
      <x:c r="M78" s="171"/>
      <x:c r="N78" s="171"/>
    </x:row>
    <x:row r="79" ht="18" customHeight="1">
      <x:c r="C79" s="231" t="str">
        <x:v>Guest-service expense</x:v>
      </x:c>
      <x:c r="D79" s="241" t="n">
        <x:f>'Budget'!D34</x:f>
        <x:v>31542.5</x:v>
      </x:c>
      <x:c r="E79" s="241" t="n">
        <x:f>'Budget'!E34</x:f>
        <x:v>30368.8</x:v>
      </x:c>
      <x:c r="F79" s="241" t="n">
        <x:f>'Budget'!F34</x:f>
        <x:v>38285</x:v>
      </x:c>
      <x:c r="G79" s="241" t="n">
        <x:f>'Budget'!G34</x:f>
        <x:v>40320</x:v>
      </x:c>
      <x:c r="H79" s="241" t="n">
        <x:f>'Budget'!H34</x:f>
        <x:v>44733</x:v>
      </x:c>
      <x:c r="I79" s="241" t="n">
        <x:f>'Budget'!I34</x:f>
        <x:v>46332</x:v>
      </x:c>
      <x:c r="J79" s="242" t="n">
        <x:f>SUM(D79:I79)</x:f>
        <x:v>231581.3</x:v>
      </x:c>
      <x:c r="K79" s="171"/>
      <x:c r="L79" s="171"/>
      <x:c r="M79" s="171"/>
      <x:c r="N79" s="171"/>
    </x:row>
    <x:row r="80" ht="18" customHeight="1">
      <x:c r="C80" s="234" t="str">
        <x:v>Distribution fee rate</x:v>
      </x:c>
      <x:c r="D80" s="235" t="n">
        <x:f>'Budget'!D35</x:f>
        <x:v>0.04</x:v>
      </x:c>
      <x:c r="E80" s="235" t="n">
        <x:f>'Budget'!E35</x:f>
        <x:v>0.04</x:v>
      </x:c>
      <x:c r="F80" s="235" t="n">
        <x:f>'Budget'!F35</x:f>
        <x:v>0.04</x:v>
      </x:c>
      <x:c r="G80" s="235" t="n">
        <x:f>'Budget'!G35</x:f>
        <x:v>0.04</x:v>
      </x:c>
      <x:c r="H80" s="235" t="n">
        <x:f>'Budget'!H35</x:f>
        <x:v>0.04</x:v>
      </x:c>
      <x:c r="I80" s="235" t="n">
        <x:f>'Budget'!I35</x:f>
        <x:v>0.04</x:v>
      </x:c>
      <x:c r="J80" s="236" t="n">
        <x:f>J81/J73</x:f>
        <x:v>0.04</x:v>
      </x:c>
      <x:c r="K80" s="171"/>
      <x:c r="L80" s="171"/>
      <x:c r="M80" s="171"/>
      <x:c r="N80" s="171"/>
    </x:row>
    <x:row r="81" ht="18" customHeight="1">
      <x:c r="C81" s="231" t="str">
        <x:v>Distribution and payment expense</x:v>
      </x:c>
      <x:c r="D81" s="241" t="n">
        <x:f>'Budget'!D36</x:f>
        <x:v>9861.72</x:v>
      </x:c>
      <x:c r="E81" s="241" t="n">
        <x:f>'Budget'!E36</x:f>
        <x:v>9491.305600000002</x:v>
      </x:c>
      <x:c r="F81" s="241" t="n">
        <x:f>'Budget'!F36</x:f>
        <x:v>12193.167999999998</x:v>
      </x:c>
      <x:c r="G81" s="241" t="n">
        <x:f>'Budget'!G36</x:f>
        <x:v>13090.56</x:v>
      </x:c>
      <x:c r="H81" s="241" t="n">
        <x:f>'Budget'!H36</x:f>
        <x:v>14915.587999999998</x:v>
      </x:c>
      <x:c r="I81" s="241" t="n">
        <x:f>'Budget'!I36</x:f>
        <x:v>15769.728000000001</x:v>
      </x:c>
      <x:c r="J81" s="242" t="n">
        <x:f>SUM(D81:I81)</x:f>
        <x:v>75322.06959999999</x:v>
      </x:c>
      <x:c r="K81" s="171"/>
      <x:c r="L81" s="171"/>
      <x:c r="M81" s="171"/>
      <x:c r="N81" s="171"/>
    </x:row>
    <x:row r="82" ht="18" customHeight="1">
      <x:c r="C82" s="231" t="str">
        <x:v>Average fixed-staff FTE</x:v>
      </x:c>
      <x:c r="D82" s="250" t="n">
        <x:f>'Budget'!D40</x:f>
        <x:v>5</x:v>
      </x:c>
      <x:c r="E82" s="250" t="n">
        <x:f>'Budget'!E40</x:f>
        <x:v>5</x:v>
      </x:c>
      <x:c r="F82" s="250" t="n">
        <x:f>'Budget'!F40</x:f>
        <x:v>5</x:v>
      </x:c>
      <x:c r="G82" s="250" t="n">
        <x:f>'Budget'!G40</x:f>
        <x:v>5</x:v>
      </x:c>
      <x:c r="H82" s="250" t="n">
        <x:f>'Budget'!H40</x:f>
        <x:v>5</x:v>
      </x:c>
      <x:c r="I82" s="250" t="n">
        <x:f>'Budget'!I40</x:f>
        <x:v>5</x:v>
      </x:c>
      <x:c r="J82" s="251" t="n">
        <x:f>SUM(D82:I82)/6</x:f>
        <x:v>5</x:v>
      </x:c>
      <x:c r="K82" s="171"/>
      <x:c r="L82" s="171"/>
      <x:c r="M82" s="171"/>
      <x:c r="N82" s="171"/>
    </x:row>
    <x:row r="83" ht="18" customHeight="1">
      <x:c r="C83" s="231" t="str">
        <x:v>Fixed-staff cost per FTE-month</x:v>
      </x:c>
      <x:c r="D83" s="239" t="n">
        <x:f>'Budget'!D41</x:f>
        <x:v>6000</x:v>
      </x:c>
      <x:c r="E83" s="239" t="n">
        <x:f>'Budget'!E41</x:f>
        <x:v>6000</x:v>
      </x:c>
      <x:c r="F83" s="239" t="n">
        <x:f>'Budget'!F41</x:f>
        <x:v>6000</x:v>
      </x:c>
      <x:c r="G83" s="239" t="n">
        <x:f>'Budget'!G41</x:f>
        <x:v>6000</x:v>
      </x:c>
      <x:c r="H83" s="239" t="n">
        <x:f>'Budget'!H41</x:f>
        <x:v>6000</x:v>
      </x:c>
      <x:c r="I83" s="239" t="n">
        <x:f>'Budget'!I41</x:f>
        <x:v>6000</x:v>
      </x:c>
      <x:c r="J83" s="240" t="n">
        <x:f>J84/SUM(D82:I82)</x:f>
        <x:v>6000</x:v>
      </x:c>
      <x:c r="K83" s="171"/>
      <x:c r="L83" s="171"/>
      <x:c r="M83" s="171"/>
      <x:c r="N83" s="171"/>
    </x:row>
    <x:row r="84" ht="18" customHeight="1">
      <x:c r="C84" s="231" t="str">
        <x:v>Fixed-staff payroll</x:v>
      </x:c>
      <x:c r="D84" s="241" t="n">
        <x:f>'Budget'!D42</x:f>
        <x:v>30000</x:v>
      </x:c>
      <x:c r="E84" s="241" t="n">
        <x:f>'Budget'!E42</x:f>
        <x:v>30000</x:v>
      </x:c>
      <x:c r="F84" s="241" t="n">
        <x:f>'Budget'!F42</x:f>
        <x:v>30000</x:v>
      </x:c>
      <x:c r="G84" s="241" t="n">
        <x:f>'Budget'!G42</x:f>
        <x:v>30000</x:v>
      </x:c>
      <x:c r="H84" s="241" t="n">
        <x:f>'Budget'!H42</x:f>
        <x:v>30000</x:v>
      </x:c>
      <x:c r="I84" s="241" t="n">
        <x:f>'Budget'!I42</x:f>
        <x:v>30000</x:v>
      </x:c>
      <x:c r="J84" s="242" t="n">
        <x:f>SUM(D84:I84)</x:f>
        <x:v>180000</x:v>
      </x:c>
      <x:c r="K84" s="171"/>
      <x:c r="L84" s="171"/>
      <x:c r="M84" s="171"/>
      <x:c r="N84" s="171"/>
    </x:row>
    <x:row r="85" ht="18" customHeight="1">
      <x:c r="C85" s="231" t="str">
        <x:v>Rent</x:v>
      </x:c>
      <x:c r="D85" s="241" t="n">
        <x:f>'Budget'!D43</x:f>
        <x:v>78000</x:v>
      </x:c>
      <x:c r="E85" s="241" t="n">
        <x:f>'Budget'!E43</x:f>
        <x:v>78000</x:v>
      </x:c>
      <x:c r="F85" s="241" t="n">
        <x:f>'Budget'!F43</x:f>
        <x:v>78000</x:v>
      </x:c>
      <x:c r="G85" s="241" t="n">
        <x:f>'Budget'!G43</x:f>
        <x:v>78000</x:v>
      </x:c>
      <x:c r="H85" s="241" t="n">
        <x:f>'Budget'!H43</x:f>
        <x:v>78000</x:v>
      </x:c>
      <x:c r="I85" s="241" t="n">
        <x:f>'Budget'!I43</x:f>
        <x:v>78000</x:v>
      </x:c>
      <x:c r="J85" s="242" t="n">
        <x:f>SUM(D85:I85)</x:f>
        <x:v>468000</x:v>
      </x:c>
      <x:c r="K85" s="171"/>
      <x:c r="L85" s="171"/>
      <x:c r="M85" s="171"/>
      <x:c r="N85" s="171"/>
    </x:row>
    <x:row r="86" ht="18" customHeight="1">
      <x:c r="C86" s="231" t="str">
        <x:v>Property overhead</x:v>
      </x:c>
      <x:c r="D86" s="241" t="n">
        <x:f>'Budget'!D44</x:f>
        <x:v>28000</x:v>
      </x:c>
      <x:c r="E86" s="241" t="n">
        <x:f>'Budget'!E44</x:f>
        <x:v>28100</x:v>
      </x:c>
      <x:c r="F86" s="241" t="n">
        <x:f>'Budget'!F44</x:f>
        <x:v>28500</x:v>
      </x:c>
      <x:c r="G86" s="241" t="n">
        <x:f>'Budget'!G44</x:f>
        <x:v>28600</x:v>
      </x:c>
      <x:c r="H86" s="241" t="n">
        <x:f>'Budget'!H44</x:f>
        <x:v>28900</x:v>
      </x:c>
      <x:c r="I86" s="241" t="n">
        <x:f>'Budget'!I44</x:f>
        <x:v>29200</x:v>
      </x:c>
      <x:c r="J86" s="242" t="n">
        <x:f>SUM(D86:I86)</x:f>
        <x:v>171300</x:v>
      </x:c>
      <x:c r="K86" s="171"/>
      <x:c r="L86" s="171"/>
      <x:c r="M86" s="171"/>
      <x:c r="N86" s="171"/>
    </x:row>
    <x:row r="87" ht="18" customHeight="1">
      <x:c r="C87" s="231" t="str">
        <x:v>Marketing</x:v>
      </x:c>
      <x:c r="D87" s="241" t="n">
        <x:f>'Budget'!D45</x:f>
        <x:v>10000</x:v>
      </x:c>
      <x:c r="E87" s="241" t="n">
        <x:f>'Budget'!E45</x:f>
        <x:v>9000</x:v>
      </x:c>
      <x:c r="F87" s="241" t="n">
        <x:f>'Budget'!F45</x:f>
        <x:v>11000</x:v>
      </x:c>
      <x:c r="G87" s="241" t="n">
        <x:f>'Budget'!G45</x:f>
        <x:v>13000</x:v>
      </x:c>
      <x:c r="H87" s="241" t="n">
        <x:f>'Budget'!H45</x:f>
        <x:v>14000</x:v>
      </x:c>
      <x:c r="I87" s="241" t="n">
        <x:f>'Budget'!I45</x:f>
        <x:v>24000</x:v>
      </x:c>
      <x:c r="J87" s="242" t="n">
        <x:f>SUM(D87:I87)</x:f>
        <x:v>81000</x:v>
      </x:c>
      <x:c r="K87" s="171"/>
      <x:c r="L87" s="171"/>
      <x:c r="M87" s="171"/>
      <x:c r="N87" s="171"/>
    </x:row>
    <x:row r="88" ht="18" customHeight="1">
      <x:c r="C88" s="243" t="str">
        <x:v>Total operating costs</x:v>
      </x:c>
      <x:c r="D88" s="244" t="n">
        <x:f>'Budget'!D49</x:f>
        <x:v>208409.82</x:v>
      </x:c>
      <x:c r="E88" s="244" t="n">
        <x:f>'Budget'!E49</x:f>
        <x:v>204610.5056</x:v>
      </x:c>
      <x:c r="F88" s="244" t="n">
        <x:f>'Budget'!F49</x:f>
        <x:v>221916.36800000002</x:v>
      </x:c>
      <x:c r="G88" s="244" t="n">
        <x:f>'Budget'!G49</x:f>
        <x:v>227496.56</x:v>
      </x:c>
      <x:c r="H88" s="244" t="n">
        <x:f>'Budget'!H49</x:f>
        <x:v>236791.948</x:v>
      </x:c>
      <x:c r="I88" s="244" t="n">
        <x:f>'Budget'!I49</x:f>
        <x:v>249556.528</x:v>
      </x:c>
      <x:c r="J88" s="245" t="n">
        <x:f>SUM(D88:I88)</x:f>
        <x:v>1348781.7296</x:v>
      </x:c>
      <x:c r="K88" s="171"/>
      <x:c r="L88" s="171"/>
      <x:c r="M88" s="171"/>
      <x:c r="N88" s="171"/>
    </x:row>
    <x:row r="89" ht="18" customHeight="1">
      <x:c r="C89" s="243" t="str">
        <x:v>Property operating contribution</x:v>
      </x:c>
      <x:c r="D89" s="244" t="n">
        <x:f>'Budget'!D50</x:f>
        <x:v>38133.17999999999</x:v>
      </x:c>
      <x:c r="E89" s="244" t="n">
        <x:f>'Budget'!E50</x:f>
        <x:v>32672.13440000001</x:v>
      </x:c>
      <x:c r="F89" s="244" t="n">
        <x:f>'Budget'!F50</x:f>
        <x:v>82912.83199999994</x:v>
      </x:c>
      <x:c r="G89" s="244" t="n">
        <x:f>'Budget'!G50</x:f>
        <x:v>99767.44</x:v>
      </x:c>
      <x:c r="H89" s="244" t="n">
        <x:f>'Budget'!H50</x:f>
        <x:v>136097.75199999995</x:v>
      </x:c>
      <x:c r="I89" s="244" t="n">
        <x:f>'Budget'!I50</x:f>
        <x:v>144686.67200000002</x:v>
      </x:c>
      <x:c r="J89" s="245" t="n">
        <x:f>SUM(D89:I89)</x:f>
        <x:v>534270.0103999999</x:v>
      </x:c>
      <x:c r="K89" s="171"/>
      <x:c r="L89" s="171"/>
      <x:c r="M89" s="171"/>
      <x:c r="N89" s="171"/>
    </x:row>
    <x:row r="90" ht="18" customHeight="1">
      <x:c r="C90" s="252" t="str">
        <x:v>Contribution margin</x:v>
      </x:c>
      <x:c r="D90" s="253" t="n">
        <x:f>'Budget'!D51</x:f>
        <x:v>0.15467151774741117</x:v>
      </x:c>
      <x:c r="E90" s="253" t="n">
        <x:f>'Budget'!E51</x:f>
        <x:v>0.13769289822466577</x:v>
      </x:c>
      <x:c r="F90" s="253" t="n">
        <x:f>'Budget'!F51</x:f>
        <x:v>0.27199766951460014</x:v>
      </x:c>
      <x:c r="G90" s="253" t="n">
        <x:f>'Budget'!G51</x:f>
        <x:v>0.3048530849711548</x:v>
      </x:c>
      <x:c r="H90" s="253" t="n">
        <x:f>'Budget'!H51</x:f>
        <x:v>0.3649812585330192</x:v>
      </x:c>
      <x:c r="I90" s="253" t="n">
        <x:f>'Budget'!I51</x:f>
        <x:v>0.36699852273926353</x:v>
      </x:c>
      <x:c r="J90" s="254" t="n">
        <x:f>J89/J73</x:f>
        <x:v>0.28372561361484416</x:v>
      </x:c>
      <x:c r="K90" s="171"/>
      <x:c r="L90" s="171"/>
      <x:c r="M90" s="171"/>
      <x:c r="N90" s="171"/>
    </x:row>
    <x:row r="91" ht="18" customHeight="1">
      <x:c r="C91" s="171"/>
      <x:c r="D91" s="171"/>
      <x:c r="E91" s="171"/>
      <x:c r="F91" s="171"/>
      <x:c r="G91" s="171"/>
      <x:c r="H91" s="171"/>
      <x:c r="I91" s="171"/>
      <x:c r="J91" s="171"/>
      <x:c r="K91" s="171"/>
      <x:c r="L91" s="171"/>
      <x:c r="M91" s="171"/>
      <x:c r="N91" s="171"/>
    </x:row>
    <x:row r="92" ht="32" customHeight="1">
      <x:c r="C92" s="438" t="str">
        <x:v>Metric</x:v>
      </x:c>
      <x:c r="D92" s="441" t="n">
        <x:v>46023</x:v>
      </x:c>
      <x:c r="E92" s="441" t="n">
        <x:v>46054</x:v>
      </x:c>
      <x:c r="F92" s="441" t="n">
        <x:v>46082</x:v>
      </x:c>
      <x:c r="G92" s="441" t="n">
        <x:v>46113</x:v>
      </x:c>
      <x:c r="H92" s="441" t="n">
        <x:v>46143</x:v>
      </x:c>
      <x:c r="I92" s="441" t="n">
        <x:v>46174</x:v>
      </x:c>
      <x:c r="J92" s="440" t="str">
        <x:v>YTD</x:v>
      </x:c>
      <x:c r="K92" s="171"/>
      <x:c r="L92" s="171"/>
      <x:c r="M92" s="171"/>
      <x:c r="N92" s="171"/>
    </x:row>
    <x:row r="93" ht="24" customHeight="1">
      <x:c r="C93" s="431" t="str">
        <x:v>Recorded actual</x:v>
      </x:c>
      <x:c r="D93" s="432"/>
      <x:c r="E93" s="432"/>
      <x:c r="F93" s="432"/>
      <x:c r="G93" s="432"/>
      <x:c r="H93" s="432"/>
      <x:c r="I93" s="432"/>
      <x:c r="J93" s="433"/>
      <x:c r="K93" s="171"/>
      <x:c r="L93" s="171"/>
      <x:c r="M93" s="171"/>
      <x:c r="N93" s="171"/>
    </x:row>
    <x:row r="94" ht="18" customHeight="1">
      <x:c r="C94" s="228" t="str">
        <x:v>Available room nights</x:v>
      </x:c>
      <x:c r="D94" s="230" t="n">
        <x:f>100*DAY(DATE(YEAR(D$92),MONTH(D$92)+1,0))</x:f>
        <x:v>3100</x:v>
      </x:c>
      <x:c r="E94" s="230" t="n">
        <x:f>100*DAY(DATE(YEAR(E$92),MONTH(E$92)+1,0))</x:f>
        <x:v>2800</x:v>
      </x:c>
      <x:c r="F94" s="230" t="n">
        <x:f>100*DAY(DATE(YEAR(F$92),MONTH(F$92)+1,0))</x:f>
        <x:v>3100</x:v>
      </x:c>
      <x:c r="G94" s="230" t="n">
        <x:f>100*DAY(DATE(YEAR(G$92),MONTH(G$92)+1,0))</x:f>
        <x:v>3000</x:v>
      </x:c>
      <x:c r="H94" s="230" t="n">
        <x:f>100*DAY(DATE(YEAR(H$92),MONTH(H$92)+1,0))</x:f>
        <x:v>3100</x:v>
      </x:c>
      <x:c r="I94" s="230" t="n">
        <x:f>100*DAY(DATE(YEAR(I$92),MONTH(I$92)+1,0))</x:f>
        <x:v>3000</x:v>
      </x:c>
      <x:c r="J94" s="230" t="n">
        <x:f>SUM(D94:I94)</x:f>
        <x:v>18100</x:v>
      </x:c>
      <x:c r="K94" s="171"/>
      <x:c r="L94" s="171"/>
      <x:c r="M94" s="171"/>
      <x:c r="N94" s="171"/>
    </x:row>
    <x:row r="95" ht="18" customHeight="1">
      <x:c r="C95" s="231" t="str">
        <x:v>Occupied room nights</x:v>
      </x:c>
      <x:c r="D95" s="233" t="n">
        <x:f>D97+D98</x:f>
        <x:v>1658</x:v>
      </x:c>
      <x:c r="E95" s="233" t="n">
        <x:f>E97+E98</x:f>
        <x:v>1604</x:v>
      </x:c>
      <x:c r="F95" s="233" t="n">
        <x:f>F97+F98</x:f>
        <x:v>1922</x:v>
      </x:c>
      <x:c r="G95" s="233" t="n">
        <x:f>G97+G98</x:f>
        <x:v>1950</x:v>
      </x:c>
      <x:c r="H95" s="233" t="n">
        <x:f>H97+H98</x:f>
        <x:v>2139</x:v>
      </x:c>
      <x:c r="I95" s="233" t="n">
        <x:f>I97+I98</x:f>
        <x:v>2265</x:v>
      </x:c>
      <x:c r="J95" s="233" t="n">
        <x:f>SUM(D95:I95)</x:f>
        <x:v>11538</x:v>
      </x:c>
      <x:c r="K95" s="171"/>
      <x:c r="L95" s="171"/>
      <x:c r="M95" s="171"/>
      <x:c r="N95" s="171"/>
    </x:row>
    <x:row r="96" ht="18" customHeight="1">
      <x:c r="C96" s="234" t="str">
        <x:v>Occupancy</x:v>
      </x:c>
      <x:c r="D96" s="236" t="n">
        <x:f>D95/D94</x:f>
        <x:v>0.5348387096774193</x:v>
      </x:c>
      <x:c r="E96" s="236" t="n">
        <x:f>E95/E94</x:f>
        <x:v>0.5728571428571428</x:v>
      </x:c>
      <x:c r="F96" s="236" t="n">
        <x:f>F95/F94</x:f>
        <x:v>0.62</x:v>
      </x:c>
      <x:c r="G96" s="236" t="n">
        <x:f>G95/G94</x:f>
        <x:v>0.65</x:v>
      </x:c>
      <x:c r="H96" s="236" t="n">
        <x:f>H95/H94</x:f>
        <x:v>0.69</x:v>
      </x:c>
      <x:c r="I96" s="236" t="n">
        <x:f>I95/I94</x:f>
        <x:v>0.755</x:v>
      </x:c>
      <x:c r="J96" s="236" t="n">
        <x:f>J95/J94</x:f>
        <x:v>0.6374585635359116</x:v>
      </x:c>
      <x:c r="K96" s="171"/>
      <x:c r="L96" s="171"/>
      <x:c r="M96" s="171"/>
      <x:c r="N96" s="171"/>
    </x:row>
    <x:row r="97" ht="18" customHeight="1">
      <x:c r="C97" s="231" t="str">
        <x:v>Retail room nights</x:v>
      </x:c>
      <x:c r="D97" s="237" t="n">
        <x:f>SUMIFS(Data!$F$158:$F$193,Data!$D$158:$D$193,D$92,Data!$E$158:$E$193,"Retail/Leisure")</x:f>
        <x:v>1144</x:v>
      </x:c>
      <x:c r="E97" s="237" t="n">
        <x:f>SUMIFS(Data!$F$158:$F$193,Data!$D$158:$D$193,E$92,Data!$E$158:$E$193,"Retail/Leisure")</x:f>
        <x:v>1075</x:v>
      </x:c>
      <x:c r="F97" s="237" t="n">
        <x:f>SUMIFS(Data!$F$158:$F$193,Data!$D$158:$D$193,F$92,Data!$E$158:$E$193,"Retail/Leisure")</x:f>
        <x:v>1192</x:v>
      </x:c>
      <x:c r="G97" s="237" t="n">
        <x:f>SUMIFS(Data!$F$158:$F$193,Data!$D$158:$D$193,G$92,Data!$E$158:$E$193,"Retail/Leisure")</x:f>
        <x:v>1111</x:v>
      </x:c>
      <x:c r="H97" s="237" t="n">
        <x:f>SUMIFS(Data!$F$158:$F$193,Data!$D$158:$D$193,H$92,Data!$E$158:$E$193,"Retail/Leisure")</x:f>
        <x:v>1176</x:v>
      </x:c>
      <x:c r="I97" s="237" t="n">
        <x:f>SUMIFS(Data!$F$158:$F$193,Data!$D$158:$D$193,I$92,Data!$E$158:$E$193,"Retail/Leisure")</x:f>
        <x:v>1314</x:v>
      </x:c>
      <x:c r="J97" s="238" t="n">
        <x:f>SUM(D97:I97)</x:f>
        <x:v>7012</x:v>
      </x:c>
      <x:c r="K97" s="171"/>
      <x:c r="L97" s="171"/>
      <x:c r="M97" s="171"/>
      <x:c r="N97" s="171"/>
    </x:row>
    <x:row r="98" ht="18" customHeight="1">
      <x:c r="C98" s="231" t="str">
        <x:v>Corporate room nights</x:v>
      </x:c>
      <x:c r="D98" s="237" t="n">
        <x:f>SUMIFS(Data!$F$158:$F$193,Data!$D$158:$D$193,D$92,Data!$E$158:$E$193,"Negotiated Corporate")</x:f>
        <x:v>514</x:v>
      </x:c>
      <x:c r="E98" s="237" t="n">
        <x:f>SUMIFS(Data!$F$158:$F$193,Data!$D$158:$D$193,E$92,Data!$E$158:$E$193,"Negotiated Corporate")</x:f>
        <x:v>529</x:v>
      </x:c>
      <x:c r="F98" s="237" t="n">
        <x:f>SUMIFS(Data!$F$158:$F$193,Data!$D$158:$D$193,F$92,Data!$E$158:$E$193,"Negotiated Corporate")</x:f>
        <x:v>730</x:v>
      </x:c>
      <x:c r="G98" s="237" t="n">
        <x:f>SUMIFS(Data!$F$158:$F$193,Data!$D$158:$D$193,G$92,Data!$E$158:$E$193,"Negotiated Corporate")</x:f>
        <x:v>839</x:v>
      </x:c>
      <x:c r="H98" s="237" t="n">
        <x:f>SUMIFS(Data!$F$158:$F$193,Data!$D$158:$D$193,H$92,Data!$E$158:$E$193,"Negotiated Corporate")</x:f>
        <x:v>963</x:v>
      </x:c>
      <x:c r="I98" s="237" t="n">
        <x:f>SUMIFS(Data!$F$158:$F$193,Data!$D$158:$D$193,I$92,Data!$E$158:$E$193,"Negotiated Corporate")</x:f>
        <x:v>951</x:v>
      </x:c>
      <x:c r="J98" s="238" t="n">
        <x:f>SUM(D98:I98)</x:f>
        <x:v>4526</x:v>
      </x:c>
      <x:c r="K98" s="171"/>
      <x:c r="L98" s="171"/>
      <x:c r="M98" s="171"/>
      <x:c r="N98" s="171"/>
    </x:row>
    <x:row r="99" ht="18" customHeight="1">
      <x:c r="C99" s="234" t="str">
        <x:v>Corporate share</x:v>
      </x:c>
      <x:c r="D99" s="236" t="n">
        <x:f>D98/D95</x:f>
        <x:v>0.3100120627261761</x:v>
      </x:c>
      <x:c r="E99" s="236" t="n">
        <x:f>E98/E95</x:f>
        <x:v>0.32980049875311723</x:v>
      </x:c>
      <x:c r="F99" s="236" t="n">
        <x:f>F98/F95</x:f>
        <x:v>0.3798126951092612</x:v>
      </x:c>
      <x:c r="G99" s="236" t="n">
        <x:f>G98/G95</x:f>
        <x:v>0.43025641025641026</x:v>
      </x:c>
      <x:c r="H99" s="236" t="n">
        <x:f>H98/H95</x:f>
        <x:v>0.45021037868162694</x:v>
      </x:c>
      <x:c r="I99" s="236" t="n">
        <x:f>I98/I95</x:f>
        <x:v>0.4198675496688742</x:v>
      </x:c>
      <x:c r="J99" s="236" t="n">
        <x:f>J98/J95</x:f>
        <x:v>0.3922690240942971</x:v>
      </x:c>
      <x:c r="K99" s="171"/>
      <x:c r="L99" s="171"/>
      <x:c r="M99" s="171"/>
      <x:c r="N99" s="171"/>
    </x:row>
    <x:row r="100" ht="18" customHeight="1">
      <x:c r="C100" s="231" t="str">
        <x:v>Retail ADR</x:v>
      </x:c>
      <x:c r="D100" s="240" t="n">
        <x:f>D104/D97</x:f>
        <x:v>151</x:v>
      </x:c>
      <x:c r="E100" s="240" t="n">
        <x:f>E104/E97</x:f>
        <x:v>153</x:v>
      </x:c>
      <x:c r="F100" s="240" t="n">
        <x:f>F104/F97</x:f>
        <x:v>158.5</x:v>
      </x:c>
      <x:c r="G100" s="240" t="n">
        <x:f>G104/G97</x:f>
        <x:v>164</x:v>
      </x:c>
      <x:c r="H100" s="240" t="n">
        <x:f>H104/H97</x:f>
        <x:v>171</x:v>
      </x:c>
      <x:c r="I100" s="240" t="n">
        <x:f>I104/I97</x:f>
        <x:v>181</x:v>
      </x:c>
      <x:c r="J100" s="240" t="n">
        <x:f>J104/J97</x:f>
        <x:v>163.61737022247576</x:v>
      </x:c>
      <x:c r="K100" s="171"/>
      <x:c r="L100" s="171"/>
      <x:c r="M100" s="171"/>
      <x:c r="N100" s="171"/>
    </x:row>
    <x:row r="101" ht="18" customHeight="1">
      <x:c r="C101" s="231" t="str">
        <x:v>Corporate ADR</x:v>
      </x:c>
      <x:c r="D101" s="240" t="n">
        <x:f>D105/D98</x:f>
        <x:v>132.5</x:v>
      </x:c>
      <x:c r="E101" s="240" t="n">
        <x:f>E105/E98</x:f>
        <x:v>133</x:v>
      </x:c>
      <x:c r="F101" s="240" t="n">
        <x:f>F105/F98</x:f>
        <x:v>137.5</x:v>
      </x:c>
      <x:c r="G101" s="240" t="n">
        <x:f>G105/G98</x:f>
        <x:v>140.5</x:v>
      </x:c>
      <x:c r="H101" s="240" t="n">
        <x:f>H105/H98</x:f>
        <x:v>145</x:v>
      </x:c>
      <x:c r="I101" s="240" t="n">
        <x:f>I105/I98</x:f>
        <x:v>148.5</x:v>
      </x:c>
      <x:c r="J101" s="240" t="n">
        <x:f>J105/J98</x:f>
        <x:v>140.86942112240388</x:v>
      </x:c>
      <x:c r="K101" s="171"/>
      <x:c r="L101" s="171"/>
      <x:c r="M101" s="171"/>
      <x:c r="N101" s="171"/>
    </x:row>
    <x:row r="102" ht="18" customHeight="1">
      <x:c r="C102" s="231" t="str">
        <x:v>Blended ADR</x:v>
      </x:c>
      <x:c r="D102" s="240" t="n">
        <x:f>D106/D95</x:f>
        <x:v>145.26477683956574</x:v>
      </x:c>
      <x:c r="E102" s="240" t="n">
        <x:f>E106/E95</x:f>
        <x:v>146.40399002493766</x:v>
      </x:c>
      <x:c r="F102" s="240" t="n">
        <x:f>F106/F95</x:f>
        <x:v>150.52393340270552</x:v>
      </x:c>
      <x:c r="G102" s="240" t="n">
        <x:f>G106/G95</x:f>
        <x:v>153.88897435897437</x:v>
      </x:c>
      <x:c r="H102" s="240" t="n">
        <x:f>H106/H95</x:f>
        <x:v>159.2945301542777</x:v>
      </x:c>
      <x:c r="I102" s="240" t="n">
        <x:f>I106/I95</x:f>
        <x:v>167.3543046357616</x:v>
      </x:c>
      <x:c r="J102" s="240" t="n">
        <x:f>J106/J95</x:f>
        <x:v>154.69405442884383</x:v>
      </x:c>
      <x:c r="K102" s="171"/>
      <x:c r="L102" s="171"/>
      <x:c r="M102" s="171"/>
      <x:c r="N102" s="171"/>
    </x:row>
    <x:row r="103" ht="18" customHeight="1">
      <x:c r="C103" s="231" t="str">
        <x:v>RevPAR</x:v>
      </x:c>
      <x:c r="D103" s="240" t="n">
        <x:f>D106/D94</x:f>
        <x:v>77.69322580645161</x:v>
      </x:c>
      <x:c r="E103" s="240" t="n">
        <x:f>E106/E94</x:f>
        <x:v>83.86857142857143</x:v>
      </x:c>
      <x:c r="F103" s="240" t="n">
        <x:f>F106/F94</x:f>
        <x:v>93.32483870967742</x:v>
      </x:c>
      <x:c r="G103" s="240" t="n">
        <x:f>G106/G94</x:f>
        <x:v>100.02783333333333</x:v>
      </x:c>
      <x:c r="H103" s="240" t="n">
        <x:f>H106/H94</x:f>
        <x:v>109.9132258064516</x:v>
      </x:c>
      <x:c r="I103" s="240" t="n">
        <x:f>I106/I94</x:f>
        <x:v>126.3525</x:v>
      </x:c>
      <x:c r="J103" s="240" t="n">
        <x:f>J106/J94</x:f>
        <x:v>98.6110497237569</x:v>
      </x:c>
      <x:c r="K103" s="171"/>
      <x:c r="L103" s="171"/>
      <x:c r="M103" s="171"/>
      <x:c r="N103" s="171"/>
    </x:row>
    <x:row r="104" ht="18" customHeight="1">
      <x:c r="C104" s="231" t="str">
        <x:v>Retail room revenue</x:v>
      </x:c>
      <x:c r="D104" s="241" t="n">
        <x:f>SUMIFS(Data!$G$158:$G$193,Data!$D$158:$D$193,D$92,Data!$E$158:$E$193,"Retail/Leisure")</x:f>
        <x:v>172744</x:v>
      </x:c>
      <x:c r="E104" s="241" t="n">
        <x:f>SUMIFS(Data!$G$158:$G$193,Data!$D$158:$D$193,E$92,Data!$E$158:$E$193,"Retail/Leisure")</x:f>
        <x:v>164475</x:v>
      </x:c>
      <x:c r="F104" s="241" t="n">
        <x:f>SUMIFS(Data!$G$158:$G$193,Data!$D$158:$D$193,F$92,Data!$E$158:$E$193,"Retail/Leisure")</x:f>
        <x:v>188932</x:v>
      </x:c>
      <x:c r="G104" s="241" t="n">
        <x:f>SUMIFS(Data!$G$158:$G$193,Data!$D$158:$D$193,G$92,Data!$E$158:$E$193,"Retail/Leisure")</x:f>
        <x:v>182204</x:v>
      </x:c>
      <x:c r="H104" s="241" t="n">
        <x:f>SUMIFS(Data!$G$158:$G$193,Data!$D$158:$D$193,H$92,Data!$E$158:$E$193,"Retail/Leisure")</x:f>
        <x:v>201096</x:v>
      </x:c>
      <x:c r="I104" s="241" t="n">
        <x:f>SUMIFS(Data!$G$158:$G$193,Data!$D$158:$D$193,I$92,Data!$E$158:$E$193,"Retail/Leisure")</x:f>
        <x:v>237834</x:v>
      </x:c>
      <x:c r="J104" s="242" t="n">
        <x:f>SUM(D104:I104)</x:f>
        <x:v>1147285</x:v>
      </x:c>
      <x:c r="K104" s="171"/>
      <x:c r="L104" s="171"/>
      <x:c r="M104" s="171"/>
      <x:c r="N104" s="171"/>
    </x:row>
    <x:row r="105" ht="18" customHeight="1">
      <x:c r="C105" s="231" t="str">
        <x:v>Corporate room revenue</x:v>
      </x:c>
      <x:c r="D105" s="241" t="n">
        <x:f>SUMIFS(Data!$G$158:$G$193,Data!$D$158:$D$193,D$92,Data!$E$158:$E$193,"Negotiated Corporate")</x:f>
        <x:v>68105</x:v>
      </x:c>
      <x:c r="E105" s="241" t="n">
        <x:f>SUMIFS(Data!$G$158:$G$193,Data!$D$158:$D$193,E$92,Data!$E$158:$E$193,"Negotiated Corporate")</x:f>
        <x:v>70357</x:v>
      </x:c>
      <x:c r="F105" s="241" t="n">
        <x:f>SUMIFS(Data!$G$158:$G$193,Data!$D$158:$D$193,F$92,Data!$E$158:$E$193,"Negotiated Corporate")</x:f>
        <x:v>100375</x:v>
      </x:c>
      <x:c r="G105" s="241" t="n">
        <x:f>SUMIFS(Data!$G$158:$G$193,Data!$D$158:$D$193,G$92,Data!$E$158:$E$193,"Negotiated Corporate")</x:f>
        <x:v>117879.5</x:v>
      </x:c>
      <x:c r="H105" s="241" t="n">
        <x:f>SUMIFS(Data!$G$158:$G$193,Data!$D$158:$D$193,H$92,Data!$E$158:$E$193,"Negotiated Corporate")</x:f>
        <x:v>139635</x:v>
      </x:c>
      <x:c r="I105" s="241" t="n">
        <x:f>SUMIFS(Data!$G$158:$G$193,Data!$D$158:$D$193,I$92,Data!$E$158:$E$193,"Negotiated Corporate")</x:f>
        <x:v>141223.5</x:v>
      </x:c>
      <x:c r="J105" s="242" t="n">
        <x:f>SUM(D105:I105)</x:f>
        <x:v>637575</x:v>
      </x:c>
      <x:c r="K105" s="171"/>
      <x:c r="L105" s="171"/>
      <x:c r="M105" s="171"/>
      <x:c r="N105" s="171"/>
    </x:row>
    <x:row r="106" ht="18" customHeight="1">
      <x:c r="C106" s="243" t="str">
        <x:v>Total room revenue</x:v>
      </x:c>
      <x:c r="D106" s="245" t="n">
        <x:f>D104+D105</x:f>
        <x:v>240849</x:v>
      </x:c>
      <x:c r="E106" s="245" t="n">
        <x:f>E104+E105</x:f>
        <x:v>234832</x:v>
      </x:c>
      <x:c r="F106" s="245" t="n">
        <x:f>F104+F105</x:f>
        <x:v>289307</x:v>
      </x:c>
      <x:c r="G106" s="245" t="n">
        <x:f>G104+G105</x:f>
        <x:v>300083.5</x:v>
      </x:c>
      <x:c r="H106" s="245" t="n">
        <x:f>H104+H105</x:f>
        <x:v>340731</x:v>
      </x:c>
      <x:c r="I106" s="245" t="n">
        <x:f>I104+I105</x:f>
        <x:v>379057.5</x:v>
      </x:c>
      <x:c r="J106" s="245" t="n">
        <x:f>SUM(D106:I106)</x:f>
        <x:v>1784860</x:v>
      </x:c>
      <x:c r="K106" s="171"/>
      <x:c r="L106" s="171"/>
      <x:c r="M106" s="171"/>
      <x:c r="N106" s="171"/>
    </x:row>
    <x:row r="107" ht="18" customHeight="1">
      <x:c r="C107" s="231" t="str">
        <x:v>Housekeeping hours</x:v>
      </x:c>
      <x:c r="D107" s="237" t="n">
        <x:f>SUMIFS(Data!$E$200:$E$217,Data!$D$200:$D$217,D$92)</x:f>
        <x:v>945.06</x:v>
      </x:c>
      <x:c r="E107" s="237" t="n">
        <x:f>SUMIFS(Data!$E$200:$E$217,Data!$D$200:$D$217,E$92)</x:f>
        <x:v>882.2</x:v>
      </x:c>
      <x:c r="F107" s="237" t="n">
        <x:f>SUMIFS(Data!$E$200:$E$217,Data!$D$200:$D$217,F$92)</x:f>
        <x:v>1076.32</x:v>
      </x:c>
      <x:c r="G107" s="237" t="n">
        <x:f>SUMIFS(Data!$E$200:$E$217,Data!$D$200:$D$217,G$92)</x:f>
        <x:v>1209</x:v>
      </x:c>
      <x:c r="H107" s="237" t="n">
        <x:f>SUMIFS(Data!$E$200:$E$217,Data!$D$200:$D$217,H$92)</x:f>
        <x:v>1283.4</x:v>
      </x:c>
      <x:c r="I107" s="237" t="n">
        <x:f>SUMIFS(Data!$E$200:$E$217,Data!$D$200:$D$217,I$92)</x:f>
        <x:v>1268.4</x:v>
      </x:c>
      <x:c r="J107" s="238" t="n">
        <x:f>SUM(D107:I107)</x:f>
        <x:v>6664.379999999999</x:v>
      </x:c>
      <x:c r="K107" s="171"/>
      <x:c r="L107" s="171"/>
      <x:c r="M107" s="171"/>
      <x:c r="N107" s="171"/>
    </x:row>
    <x:row r="108" ht="18" customHeight="1">
      <x:c r="C108" s="234" t="str">
        <x:v>Housekeeping hours per occupied room</x:v>
      </x:c>
      <x:c r="D108" s="247" t="n">
        <x:f>D107/D95</x:f>
        <x:v>0.57</x:v>
      </x:c>
      <x:c r="E108" s="247" t="n">
        <x:f>E107/E95</x:f>
        <x:v>0.55</x:v>
      </x:c>
      <x:c r="F108" s="247" t="n">
        <x:f>F107/F95</x:f>
        <x:v>0.5599999999999999</x:v>
      </x:c>
      <x:c r="G108" s="247" t="n">
        <x:f>G107/G95</x:f>
        <x:v>0.62</x:v>
      </x:c>
      <x:c r="H108" s="247" t="n">
        <x:f>H107/H95</x:f>
        <x:v>0.6000000000000001</x:v>
      </x:c>
      <x:c r="I108" s="247" t="n">
        <x:f>I107/I95</x:f>
        <x:v>0.56</x:v>
      </x:c>
      <x:c r="J108" s="247" t="n">
        <x:f>J107/J95</x:f>
        <x:v>0.5776027041081643</x:v>
      </x:c>
      <x:c r="K108" s="171"/>
      <x:c r="L108" s="171"/>
      <x:c r="M108" s="171"/>
      <x:c r="N108" s="171"/>
    </x:row>
    <x:row r="109" ht="18" customHeight="1">
      <x:c r="C109" s="234" t="str">
        <x:v>Effective housekeeping wage per hour</x:v>
      </x:c>
      <x:c r="D109" s="249" t="n">
        <x:f>D110/D107</x:f>
        <x:v>21.899995767464503</x:v>
      </x:c>
      <x:c r="E109" s="249" t="n">
        <x:f>E110/E107</x:f>
        <x:v>22</x:v>
      </x:c>
      <x:c r="F109" s="249" t="n">
        <x:f>F110/F107</x:f>
        <x:v>22.09999814181656</x:v>
      </x:c>
      <x:c r="G109" s="249" t="n">
        <x:f>G110/G107</x:f>
        <x:v>23.25</x:v>
      </x:c>
      <x:c r="H109" s="249" t="n">
        <x:f>H110/H107</x:f>
        <x:v>23.249999999999996</x:v>
      </x:c>
      <x:c r="I109" s="249" t="n">
        <x:f>I110/I107</x:f>
        <x:v>23.249999999999996</x:v>
      </x:c>
      <x:c r="J109" s="249" t="n">
        <x:f>J110/J107</x:f>
        <x:v>22.707360624694275</x:v>
      </x:c>
      <x:c r="K109" s="171"/>
      <x:c r="L109" s="171"/>
      <x:c r="M109" s="171"/>
      <x:c r="N109" s="171"/>
    </x:row>
    <x:row r="110" ht="18" customHeight="1">
      <x:c r="C110" s="231" t="str">
        <x:v>Housekeeping payroll</x:v>
      </x:c>
      <x:c r="D110" s="241" t="n">
        <x:f>SUMIFS(Data!$F$200:$F$217,Data!$D$200:$D$217,D$92)</x:f>
        <x:v>20696.81</x:v>
      </x:c>
      <x:c r="E110" s="241" t="n">
        <x:f>SUMIFS(Data!$F$200:$F$217,Data!$D$200:$D$217,E$92)</x:f>
        <x:v>19408.4</x:v>
      </x:c>
      <x:c r="F110" s="241" t="n">
        <x:f>SUMIFS(Data!$F$200:$F$217,Data!$D$200:$D$217,F$92)</x:f>
        <x:v>23786.67</x:v>
      </x:c>
      <x:c r="G110" s="241" t="n">
        <x:f>SUMIFS(Data!$F$200:$F$217,Data!$D$200:$D$217,G$92)</x:f>
        <x:v>28109.25</x:v>
      </x:c>
      <x:c r="H110" s="241" t="n">
        <x:f>SUMIFS(Data!$F$200:$F$217,Data!$D$200:$D$217,H$92)</x:f>
        <x:v>29839.05</x:v>
      </x:c>
      <x:c r="I110" s="241" t="n">
        <x:f>SUMIFS(Data!$F$200:$F$217,Data!$D$200:$D$217,I$92)</x:f>
        <x:v>29490.3</x:v>
      </x:c>
      <x:c r="J110" s="242" t="n">
        <x:f>SUM(D110:I110)</x:f>
        <x:v>151330.48</x:v>
      </x:c>
      <x:c r="K110" s="171"/>
      <x:c r="L110" s="171"/>
      <x:c r="M110" s="171"/>
      <x:c r="N110" s="171"/>
    </x:row>
    <x:row r="111" ht="18" customHeight="1">
      <x:c r="C111" s="234" t="str">
        <x:v>Guest-service cost per occupied room</x:v>
      </x:c>
      <x:c r="D111" s="249" t="n">
        <x:f>D112/D95</x:f>
        <x:v>18.599999999999998</x:v>
      </x:c>
      <x:c r="E111" s="249" t="n">
        <x:f>E112/E95</x:f>
        <x:v>18.5</x:v>
      </x:c>
      <x:c r="F111" s="249" t="n">
        <x:f>F112/F95</x:f>
        <x:v>19.099999999999998</x:v>
      </x:c>
      <x:c r="G111" s="249" t="n">
        <x:f>G112/G95</x:f>
        <x:v>19.4</x:v>
      </x:c>
      <x:c r="H111" s="249" t="n">
        <x:f>H112/H95</x:f>
        <x:v>19.799999999999997</x:v>
      </x:c>
      <x:c r="I111" s="249" t="n">
        <x:f>I112/I95</x:f>
        <x:v>20.1</x:v>
      </x:c>
      <x:c r="J111" s="249" t="n">
        <x:f>J112/J95</x:f>
        <x:v>19.3215201941411</x:v>
      </x:c>
      <x:c r="K111" s="171"/>
      <x:c r="L111" s="171"/>
      <x:c r="M111" s="171"/>
      <x:c r="N111" s="171"/>
    </x:row>
    <x:row r="112" ht="18" customHeight="1">
      <x:c r="C112" s="231" t="str">
        <x:v>Guest-service expense</x:v>
      </x:c>
      <x:c r="D112" s="241" t="n">
        <x:f>SUMIFS(Data!$G$8:$G$151,Data!$D$8:$D$151,D$92,Data!$F$8:$F$151,"Guest Services")</x:f>
        <x:v>30838.8</x:v>
      </x:c>
      <x:c r="E112" s="241" t="n">
        <x:f>SUMIFS(Data!$G$8:$G$151,Data!$D$8:$D$151,E$92,Data!$F$8:$F$151,"Guest Services")</x:f>
        <x:v>29674</x:v>
      </x:c>
      <x:c r="F112" s="241" t="n">
        <x:f>SUMIFS(Data!$G$8:$G$151,Data!$D$8:$D$151,F$92,Data!$F$8:$F$151,"Guest Services")</x:f>
        <x:v>36710.2</x:v>
      </x:c>
      <x:c r="G112" s="241" t="n">
        <x:f>SUMIFS(Data!$G$8:$G$151,Data!$D$8:$D$151,G$92,Data!$F$8:$F$151,"Guest Services")</x:f>
        <x:v>37830</x:v>
      </x:c>
      <x:c r="H112" s="241" t="n">
        <x:f>SUMIFS(Data!$G$8:$G$151,Data!$D$8:$D$151,H$92,Data!$F$8:$F$151,"Guest Services")</x:f>
        <x:v>42352.2</x:v>
      </x:c>
      <x:c r="I112" s="241" t="n">
        <x:f>SUMIFS(Data!$G$8:$G$151,Data!$D$8:$D$151,I$92,Data!$F$8:$F$151,"Guest Services")</x:f>
        <x:v>45526.5</x:v>
      </x:c>
      <x:c r="J112" s="242" t="n">
        <x:f>SUM(D112:I112)</x:f>
        <x:v>222931.7</x:v>
      </x:c>
      <x:c r="K112" s="171"/>
      <x:c r="L112" s="171"/>
      <x:c r="M112" s="171"/>
      <x:c r="N112" s="171"/>
    </x:row>
    <x:row r="113" ht="18" customHeight="1">
      <x:c r="C113" s="234" t="str">
        <x:v>Distribution fee rate</x:v>
      </x:c>
      <x:c r="D113" s="236" t="n">
        <x:f>D114/D106</x:f>
        <x:v>0.039999999999999994</x:v>
      </x:c>
      <x:c r="E113" s="236" t="n">
        <x:f>E114/E106</x:f>
        <x:v>0.04</x:v>
      </x:c>
      <x:c r="F113" s="236" t="n">
        <x:f>F114/F106</x:f>
        <x:v>0.04</x:v>
      </x:c>
      <x:c r="G113" s="236" t="n">
        <x:f>G114/G106</x:f>
        <x:v>0.04</x:v>
      </x:c>
      <x:c r="H113" s="236" t="n">
        <x:f>H114/H106</x:f>
        <x:v>0.04</x:v>
      </x:c>
      <x:c r="I113" s="236" t="n">
        <x:f>I114/I106</x:f>
        <x:v>0.04</x:v>
      </x:c>
      <x:c r="J113" s="236" t="n">
        <x:f>J114/J106</x:f>
        <x:v>0.039999999999999994</x:v>
      </x:c>
      <x:c r="K113" s="171"/>
      <x:c r="L113" s="171"/>
      <x:c r="M113" s="171"/>
      <x:c r="N113" s="171"/>
    </x:row>
    <x:row r="114" ht="18" customHeight="1">
      <x:c r="C114" s="231" t="str">
        <x:v>Distribution and payment expense</x:v>
      </x:c>
      <x:c r="D114" s="241" t="n">
        <x:f>SUMIFS(Data!$G$8:$G$151,Data!$D$8:$D$151,D$92,Data!$F$8:$F$151,"Distribution and Payment")</x:f>
        <x:v>9633.96</x:v>
      </x:c>
      <x:c r="E114" s="241" t="n">
        <x:f>SUMIFS(Data!$G$8:$G$151,Data!$D$8:$D$151,E$92,Data!$F$8:$F$151,"Distribution and Payment")</x:f>
        <x:v>9393.28</x:v>
      </x:c>
      <x:c r="F114" s="241" t="n">
        <x:f>SUMIFS(Data!$G$8:$G$151,Data!$D$8:$D$151,F$92,Data!$F$8:$F$151,"Distribution and Payment")</x:f>
        <x:v>11572.28</x:v>
      </x:c>
      <x:c r="G114" s="241" t="n">
        <x:f>SUMIFS(Data!$G$8:$G$151,Data!$D$8:$D$151,G$92,Data!$F$8:$F$151,"Distribution and Payment")</x:f>
        <x:v>12003.34</x:v>
      </x:c>
      <x:c r="H114" s="241" t="n">
        <x:f>SUMIFS(Data!$G$8:$G$151,Data!$D$8:$D$151,H$92,Data!$F$8:$F$151,"Distribution and Payment")</x:f>
        <x:v>13629.24</x:v>
      </x:c>
      <x:c r="I114" s="241" t="n">
        <x:f>SUMIFS(Data!$G$8:$G$151,Data!$D$8:$D$151,I$92,Data!$F$8:$F$151,"Distribution and Payment")</x:f>
        <x:v>15162.3</x:v>
      </x:c>
      <x:c r="J114" s="242" t="n">
        <x:f>SUM(D114:I114)</x:f>
        <x:v>71394.4</x:v>
      </x:c>
      <x:c r="K114" s="171"/>
      <x:c r="L114" s="171"/>
      <x:c r="M114" s="171"/>
      <x:c r="N114" s="171"/>
    </x:row>
    <x:row r="115" ht="18" customHeight="1">
      <x:c r="C115" s="231" t="str">
        <x:v>Average fixed-staff FTE</x:v>
      </x:c>
      <x:c r="D115" s="250" t="n">
        <x:f>SUMIFS(Data!$G$200:$G$217,Data!$D$200:$D$217,D$92)</x:f>
        <x:v>5</x:v>
      </x:c>
      <x:c r="E115" s="250" t="n">
        <x:f>SUMIFS(Data!$G$200:$G$217,Data!$D$200:$D$217,E$92)</x:f>
        <x:v>5</x:v>
      </x:c>
      <x:c r="F115" s="250" t="n">
        <x:f>SUMIFS(Data!$G$200:$G$217,Data!$D$200:$D$217,F$92)</x:f>
        <x:v>5</x:v>
      </x:c>
      <x:c r="G115" s="250" t="n">
        <x:f>SUMIFS(Data!$G$200:$G$217,Data!$D$200:$D$217,G$92)</x:f>
        <x:v>5</x:v>
      </x:c>
      <x:c r="H115" s="250" t="n">
        <x:f>SUMIFS(Data!$G$200:$G$217,Data!$D$200:$D$217,H$92)</x:f>
        <x:v>5</x:v>
      </x:c>
      <x:c r="I115" s="250" t="n">
        <x:f>SUMIFS(Data!$G$200:$G$217,Data!$D$200:$D$217,I$92)</x:f>
        <x:v>5</x:v>
      </x:c>
      <x:c r="J115" s="251" t="n">
        <x:f>SUM(D115:I115)/6</x:f>
        <x:v>5</x:v>
      </x:c>
      <x:c r="K115" s="171"/>
      <x:c r="L115" s="171"/>
      <x:c r="M115" s="171"/>
      <x:c r="N115" s="171"/>
    </x:row>
    <x:row r="116" ht="18" customHeight="1">
      <x:c r="C116" s="231" t="str">
        <x:v>Fixed-staff cost per FTE-month</x:v>
      </x:c>
      <x:c r="D116" s="240" t="n">
        <x:f>D117/D115</x:f>
        <x:v>5980</x:v>
      </x:c>
      <x:c r="E116" s="240" t="n">
        <x:f>E117/E115</x:f>
        <x:v>6005</x:v>
      </x:c>
      <x:c r="F116" s="240" t="n">
        <x:f>F117/F115</x:f>
        <x:v>6015</x:v>
      </x:c>
      <x:c r="G116" s="240" t="n">
        <x:f>G117/G115</x:f>
        <x:v>6040</x:v>
      </x:c>
      <x:c r="H116" s="240" t="n">
        <x:f>H117/H115</x:f>
        <x:v>6070</x:v>
      </x:c>
      <x:c r="I116" s="240" t="n">
        <x:f>I117/I115</x:f>
        <x:v>6050</x:v>
      </x:c>
      <x:c r="J116" s="240" t="n">
        <x:f>J117/SUM(D115:I115)</x:f>
        <x:v>6026.666666666667</x:v>
      </x:c>
      <x:c r="K116" s="171"/>
      <x:c r="L116" s="171"/>
      <x:c r="M116" s="171"/>
      <x:c r="N116" s="171"/>
    </x:row>
    <x:row r="117" ht="18" customHeight="1">
      <x:c r="C117" s="231" t="str">
        <x:v>Fixed-staff payroll</x:v>
      </x:c>
      <x:c r="D117" s="241" t="n">
        <x:f>SUMIFS(Data!$H$200:$H$217,Data!$D$200:$D$217,D$92)</x:f>
        <x:v>29900</x:v>
      </x:c>
      <x:c r="E117" s="241" t="n">
        <x:f>SUMIFS(Data!$H$200:$H$217,Data!$D$200:$D$217,E$92)</x:f>
        <x:v>30025</x:v>
      </x:c>
      <x:c r="F117" s="241" t="n">
        <x:f>SUMIFS(Data!$H$200:$H$217,Data!$D$200:$D$217,F$92)</x:f>
        <x:v>30075</x:v>
      </x:c>
      <x:c r="G117" s="241" t="n">
        <x:f>SUMIFS(Data!$H$200:$H$217,Data!$D$200:$D$217,G$92)</x:f>
        <x:v>30200</x:v>
      </x:c>
      <x:c r="H117" s="241" t="n">
        <x:f>SUMIFS(Data!$H$200:$H$217,Data!$D$200:$D$217,H$92)</x:f>
        <x:v>30350</x:v>
      </x:c>
      <x:c r="I117" s="241" t="n">
        <x:f>SUMIFS(Data!$H$200:$H$217,Data!$D$200:$D$217,I$92)</x:f>
        <x:v>30250</x:v>
      </x:c>
      <x:c r="J117" s="242" t="n">
        <x:f>SUM(D117:I117)</x:f>
        <x:v>180800</x:v>
      </x:c>
      <x:c r="K117" s="171"/>
      <x:c r="L117" s="171"/>
      <x:c r="M117" s="171"/>
      <x:c r="N117" s="171"/>
    </x:row>
    <x:row r="118" ht="18" customHeight="1">
      <x:c r="C118" s="231" t="str">
        <x:v>Rent</x:v>
      </x:c>
      <x:c r="D118" s="241" t="n">
        <x:f>SUMIFS(Data!$G$8:$G$151,Data!$D$8:$D$151,D$92,Data!$F$8:$F$151,"Rent")</x:f>
        <x:v>78000</x:v>
      </x:c>
      <x:c r="E118" s="241" t="n">
        <x:f>SUMIFS(Data!$G$8:$G$151,Data!$D$8:$D$151,E$92,Data!$F$8:$F$151,"Rent")</x:f>
        <x:v>78000</x:v>
      </x:c>
      <x:c r="F118" s="241" t="n">
        <x:f>SUMIFS(Data!$G$8:$G$151,Data!$D$8:$D$151,F$92,Data!$F$8:$F$151,"Rent")</x:f>
        <x:v>78000</x:v>
      </x:c>
      <x:c r="G118" s="241" t="n">
        <x:f>SUMIFS(Data!$G$8:$G$151,Data!$D$8:$D$151,G$92,Data!$F$8:$F$151,"Rent")</x:f>
        <x:v>78000</x:v>
      </x:c>
      <x:c r="H118" s="241" t="n">
        <x:f>SUMIFS(Data!$G$8:$G$151,Data!$D$8:$D$151,H$92,Data!$F$8:$F$151,"Rent")</x:f>
        <x:v>78000</x:v>
      </x:c>
      <x:c r="I118" s="241" t="n">
        <x:f>SUMIFS(Data!$G$8:$G$151,Data!$D$8:$D$151,I$92,Data!$F$8:$F$151,"Rent")</x:f>
        <x:v>78000</x:v>
      </x:c>
      <x:c r="J118" s="242" t="n">
        <x:f>SUM(D118:I118)</x:f>
        <x:v>468000</x:v>
      </x:c>
      <x:c r="K118" s="171"/>
      <x:c r="L118" s="171"/>
      <x:c r="M118" s="171"/>
      <x:c r="N118" s="171"/>
    </x:row>
    <x:row r="119" ht="18" customHeight="1">
      <x:c r="C119" s="231" t="str">
        <x:v>Property overhead</x:v>
      </x:c>
      <x:c r="D119" s="241" t="n">
        <x:f>SUMIFS(Data!$G$8:$G$151,Data!$D$8:$D$151,D$92,Data!$F$8:$F$151,"Property Overhead")</x:f>
        <x:v>28050</x:v>
      </x:c>
      <x:c r="E119" s="241" t="n">
        <x:f>SUMIFS(Data!$G$8:$G$151,Data!$D$8:$D$151,E$92,Data!$F$8:$F$151,"Property Overhead")</x:f>
        <x:v>27920</x:v>
      </x:c>
      <x:c r="F119" s="241" t="n">
        <x:f>SUMIFS(Data!$G$8:$G$151,Data!$D$8:$D$151,F$92,Data!$F$8:$F$151,"Property Overhead")</x:f>
        <x:v>28620</x:v>
      </x:c>
      <x:c r="G119" s="241" t="n">
        <x:f>SUMIFS(Data!$G$8:$G$151,Data!$D$8:$D$151,G$92,Data!$F$8:$F$151,"Property Overhead")</x:f>
        <x:v>28710</x:v>
      </x:c>
      <x:c r="H119" s="241" t="n">
        <x:f>SUMIFS(Data!$G$8:$G$151,Data!$D$8:$D$151,H$92,Data!$F$8:$F$151,"Property Overhead")</x:f>
        <x:v>30350</x:v>
      </x:c>
      <x:c r="I119" s="241" t="n">
        <x:f>SUMIFS(Data!$G$8:$G$151,Data!$D$8:$D$151,I$92,Data!$F$8:$F$151,"Property Overhead")</x:f>
        <x:v>29410</x:v>
      </x:c>
      <x:c r="J119" s="242" t="n">
        <x:f>SUM(D119:I119)</x:f>
        <x:v>173060</x:v>
      </x:c>
      <x:c r="K119" s="171"/>
      <x:c r="L119" s="171"/>
      <x:c r="M119" s="171"/>
      <x:c r="N119" s="171"/>
    </x:row>
    <x:row r="120" ht="18" customHeight="1">
      <x:c r="C120" s="231" t="str">
        <x:v>Marketing</x:v>
      </x:c>
      <x:c r="D120" s="241" t="n">
        <x:f>SUMIFS(Data!$G$8:$G$151,Data!$D$8:$D$151,D$92,Data!$F$8:$F$151,"Marketing")</x:f>
        <x:v>10200</x:v>
      </x:c>
      <x:c r="E120" s="241" t="n">
        <x:f>SUMIFS(Data!$G$8:$G$151,Data!$D$8:$D$151,E$92,Data!$F$8:$F$151,"Marketing")</x:f>
        <x:v>8800</x:v>
      </x:c>
      <x:c r="F120" s="241" t="n">
        <x:f>SUMIFS(Data!$G$8:$G$151,Data!$D$8:$D$151,F$92,Data!$F$8:$F$151,"Marketing")</x:f>
        <x:v>11300</x:v>
      </x:c>
      <x:c r="G120" s="241" t="n">
        <x:f>SUMIFS(Data!$G$8:$G$151,Data!$D$8:$D$151,G$92,Data!$F$8:$F$151,"Marketing")</x:f>
        <x:v>13100</x:v>
      </x:c>
      <x:c r="H120" s="241" t="n">
        <x:f>SUMIFS(Data!$G$8:$G$151,Data!$D$8:$D$151,H$92,Data!$F$8:$F$151,"Marketing")</x:f>
        <x:v>14200</x:v>
      </x:c>
      <x:c r="I120" s="241" t="n">
        <x:f>SUMIFS(Data!$G$8:$G$151,Data!$D$8:$D$151,I$92,Data!$F$8:$F$151,"Marketing")</x:f>
        <x:v>6000</x:v>
      </x:c>
      <x:c r="J120" s="242" t="n">
        <x:f>SUM(D120:I120)</x:f>
        <x:v>63600</x:v>
      </x:c>
      <x:c r="K120" s="171"/>
      <x:c r="L120" s="171"/>
      <x:c r="M120" s="171"/>
      <x:c r="N120" s="171"/>
    </x:row>
    <x:row r="121" ht="18" customHeight="1">
      <x:c r="C121" s="243" t="str">
        <x:v>Total operating costs</x:v>
      </x:c>
      <x:c r="D121" s="245" t="n">
        <x:f>SUM(D110,D112,D114,D117,D118,D119,D120)</x:f>
        <x:v>207319.57</x:v>
      </x:c>
      <x:c r="E121" s="245" t="n">
        <x:f>SUM(E110,E112,E114,E117,E118,E119,E120)</x:f>
        <x:v>203220.68</x:v>
      </x:c>
      <x:c r="F121" s="245" t="n">
        <x:f>SUM(F110,F112,F114,F117,F118,F119,F120)</x:f>
        <x:v>220064.15</x:v>
      </x:c>
      <x:c r="G121" s="245" t="n">
        <x:f>SUM(G110,G112,G114,G117,G118,G119,G120)</x:f>
        <x:v>227952.59</x:v>
      </x:c>
      <x:c r="H121" s="245" t="n">
        <x:f>SUM(H110,H112,H114,H117,H118,H119,H120)</x:f>
        <x:v>238720.49</x:v>
      </x:c>
      <x:c r="I121" s="245" t="n">
        <x:f>SUM(I110,I112,I114,I117,I118,I119,I120)</x:f>
        <x:v>233839.1</x:v>
      </x:c>
      <x:c r="J121" s="245" t="n">
        <x:f>SUM(D121:I121)</x:f>
        <x:v>1331116.58</x:v>
      </x:c>
      <x:c r="K121" s="171"/>
      <x:c r="L121" s="171"/>
      <x:c r="M121" s="171"/>
      <x:c r="N121" s="171"/>
    </x:row>
    <x:row r="122" ht="18" customHeight="1">
      <x:c r="C122" s="243" t="str">
        <x:v>Property operating contribution</x:v>
      </x:c>
      <x:c r="D122" s="245" t="n">
        <x:f>D106-D121</x:f>
        <x:v>33529.42999999999</x:v>
      </x:c>
      <x:c r="E122" s="245" t="n">
        <x:f>E106-E121</x:f>
        <x:v>31611.320000000007</x:v>
      </x:c>
      <x:c r="F122" s="245" t="n">
        <x:f>F106-F121</x:f>
        <x:v>69242.85</x:v>
      </x:c>
      <x:c r="G122" s="245" t="n">
        <x:f>G106-G121</x:f>
        <x:v>72130.91</x:v>
      </x:c>
      <x:c r="H122" s="245" t="n">
        <x:f>H106-H121</x:f>
        <x:v>102010.51000000001</x:v>
      </x:c>
      <x:c r="I122" s="245" t="n">
        <x:f>I106-I121</x:f>
        <x:v>145218.4</x:v>
      </x:c>
      <x:c r="J122" s="245" t="n">
        <x:f>SUM(D122:I122)</x:f>
        <x:v>453743.42000000004</x:v>
      </x:c>
      <x:c r="K122" s="171"/>
      <x:c r="L122" s="171"/>
      <x:c r="M122" s="171"/>
      <x:c r="N122" s="171"/>
    </x:row>
    <x:row r="123" ht="18" customHeight="1">
      <x:c r="C123" s="252" t="str">
        <x:v>Contribution margin</x:v>
      </x:c>
      <x:c r="D123" s="254" t="n">
        <x:f>D122/D106</x:f>
        <x:v>0.13921349061029936</x:v>
      </x:c>
      <x:c r="E123" s="254" t="n">
        <x:f>E122/E106</x:f>
        <x:v>0.13461248892825511</x:v>
      </x:c>
      <x:c r="F123" s="254" t="n">
        <x:f>F122/F106</x:f>
        <x:v>0.23934038927506077</x:v>
      </x:c>
      <x:c r="G123" s="254" t="n">
        <x:f>G122/G106</x:f>
        <x:v>0.2403694638325666</x:v>
      </x:c>
      <x:c r="H123" s="254" t="n">
        <x:f>H122/H106</x:f>
        <x:v>0.2993872292218789</x:v>
      </x:c>
      <x:c r="I123" s="254" t="n">
        <x:f>I122/I106</x:f>
        <x:v>0.3831038826563252</x:v>
      </x:c>
      <x:c r="J123" s="254" t="n">
        <x:f>J122/J106</x:f>
        <x:v>0.25421793305917556</x:v>
      </x:c>
      <x:c r="K123" s="171"/>
      <x:c r="L123" s="171"/>
      <x:c r="M123" s="171"/>
      <x:c r="N123" s="171"/>
    </x:row>
    <x:row r="124" ht="18" customHeight="1">
      <x:c r="C124" s="171"/>
      <x:c r="D124" s="171"/>
      <x:c r="E124" s="171"/>
      <x:c r="F124" s="171"/>
      <x:c r="G124" s="171"/>
      <x:c r="H124" s="171"/>
      <x:c r="I124" s="171"/>
      <x:c r="J124" s="171"/>
      <x:c r="K124" s="171"/>
      <x:c r="L124" s="171"/>
      <x:c r="M124" s="171"/>
      <x:c r="N124" s="171"/>
    </x:row>
    <x:row r="125" ht="32" customHeight="1">
      <x:c r="C125" s="438" t="str">
        <x:v>Metric</x:v>
      </x:c>
      <x:c r="D125" s="441" t="n">
        <x:v>46023</x:v>
      </x:c>
      <x:c r="E125" s="441" t="n">
        <x:v>46054</x:v>
      </x:c>
      <x:c r="F125" s="441" t="n">
        <x:v>46082</x:v>
      </x:c>
      <x:c r="G125" s="441" t="n">
        <x:v>46113</x:v>
      </x:c>
      <x:c r="H125" s="441" t="n">
        <x:v>46143</x:v>
      </x:c>
      <x:c r="I125" s="441" t="n">
        <x:v>46174</x:v>
      </x:c>
      <x:c r="J125" s="440" t="str">
        <x:v>YTD</x:v>
      </x:c>
      <x:c r="K125" s="171"/>
      <x:c r="L125" s="171"/>
      <x:c r="M125" s="171"/>
      <x:c r="N125" s="171"/>
    </x:row>
    <x:row r="126" ht="24" customHeight="1">
      <x:c r="C126" s="431" t="str">
        <x:v>Actual minus budget</x:v>
      </x:c>
      <x:c r="D126" s="432"/>
      <x:c r="E126" s="432"/>
      <x:c r="F126" s="432"/>
      <x:c r="G126" s="432"/>
      <x:c r="H126" s="432"/>
      <x:c r="I126" s="432"/>
      <x:c r="J126" s="433"/>
      <x:c r="K126" s="171"/>
      <x:c r="L126" s="171"/>
      <x:c r="M126" s="171"/>
      <x:c r="N126" s="171"/>
    </x:row>
    <x:row r="127" ht="18" customHeight="1">
      <x:c r="C127" s="228" t="str">
        <x:v>Available room nights</x:v>
      </x:c>
      <x:c r="D127" s="230" t="n">
        <x:f>D94-D61</x:f>
        <x:v>0</x:v>
      </x:c>
      <x:c r="E127" s="230" t="n">
        <x:f>E94-E61</x:f>
        <x:v>0</x:v>
      </x:c>
      <x:c r="F127" s="230" t="n">
        <x:f>F94-F61</x:f>
        <x:v>0</x:v>
      </x:c>
      <x:c r="G127" s="230" t="n">
        <x:f>G94-G61</x:f>
        <x:v>0</x:v>
      </x:c>
      <x:c r="H127" s="230" t="n">
        <x:f>H94-H61</x:f>
        <x:v>0</x:v>
      </x:c>
      <x:c r="I127" s="230" t="n">
        <x:f>I94-I61</x:f>
        <x:v>0</x:v>
      </x:c>
      <x:c r="J127" s="230" t="n">
        <x:f>J94-J61</x:f>
        <x:v>0</x:v>
      </x:c>
      <x:c r="K127" s="171"/>
      <x:c r="L127" s="171"/>
      <x:c r="M127" s="171"/>
      <x:c r="N127" s="171"/>
    </x:row>
    <x:row r="128" ht="18" customHeight="1">
      <x:c r="C128" s="231" t="str">
        <x:v>Occupied room nights</x:v>
      </x:c>
      <x:c r="D128" s="233" t="n">
        <x:f>D95-D62</x:f>
        <x:v>-47</x:v>
      </x:c>
      <x:c r="E128" s="233" t="n">
        <x:f>E95-E62</x:f>
        <x:v>-20</x:v>
      </x:c>
      <x:c r="F128" s="233" t="n">
        <x:f>F95-F62</x:f>
        <x:v>-93</x:v>
      </x:c>
      <x:c r="G128" s="233" t="n">
        <x:f>G95-G62</x:f>
        <x:v>-150</x:v>
      </x:c>
      <x:c r="H128" s="233" t="n">
        <x:f>H95-H62</x:f>
        <x:v>-155</x:v>
      </x:c>
      <x:c r="I128" s="233" t="n">
        <x:f>I95-I62</x:f>
        <x:v>-75</x:v>
      </x:c>
      <x:c r="J128" s="233" t="n">
        <x:f>J95-J62</x:f>
        <x:v>-540</x:v>
      </x:c>
      <x:c r="K128" s="171"/>
      <x:c r="L128" s="171"/>
      <x:c r="M128" s="171"/>
      <x:c r="N128" s="171"/>
    </x:row>
    <x:row r="129" ht="18" customHeight="1">
      <x:c r="C129" s="234" t="str">
        <x:v>Occupancy</x:v>
      </x:c>
      <x:c r="D129" s="255" t="n">
        <x:f>(D96-D63)*100</x:f>
        <x:v>-1.5161290322580734</x:v>
      </x:c>
      <x:c r="E129" s="255" t="n">
        <x:f>(E96-E63)*100</x:f>
        <x:v>-0.7142857142857117</x:v>
      </x:c>
      <x:c r="F129" s="255" t="n">
        <x:f>(F96-F63)*100</x:f>
        <x:v>-3.0000000000000027</x:v>
      </x:c>
      <x:c r="G129" s="255" t="n">
        <x:f>(G96-G63)*100</x:f>
        <x:v>-4.999999999999993</x:v>
      </x:c>
      <x:c r="H129" s="255" t="n">
        <x:f>(H96-H63)*100</x:f>
        <x:v>-5.000000000000004</x:v>
      </x:c>
      <x:c r="I129" s="255" t="n">
        <x:f>(I96-I63)*100</x:f>
        <x:v>-2.500000000000002</x:v>
      </x:c>
      <x:c r="J129" s="255" t="n">
        <x:f>(J96-J63)*100</x:f>
        <x:v>-2.983425414364649</x:v>
      </x:c>
      <x:c r="K129" s="171"/>
      <x:c r="L129" s="171"/>
      <x:c r="M129" s="171"/>
      <x:c r="N129" s="171"/>
    </x:row>
    <x:row r="130" ht="18" customHeight="1">
      <x:c r="C130" s="231" t="str">
        <x:v>Retail room nights</x:v>
      </x:c>
      <x:c r="D130" s="238" t="n">
        <x:f>D97-D64</x:f>
        <x:v>-49.5</x:v>
      </x:c>
      <x:c r="E130" s="238" t="n">
        <x:f>E97-E64</x:f>
        <x:v>-45.559999999999945</x:v>
      </x:c>
      <x:c r="F130" s="238" t="n">
        <x:f>F97-F64</x:f>
        <x:v>-178.19999999999982</x:v>
      </x:c>
      <x:c r="G130" s="238" t="n">
        <x:f>G97-G64</x:f>
        <x:v>-275</x:v>
      </x:c>
      <x:c r="H130" s="238" t="n">
        <x:f>H97-H64</x:f>
        <x:v>-315.0999999999999</x:v>
      </x:c>
      <x:c r="I130" s="238" t="n">
        <x:f>I97-I64</x:f>
        <x:v>-183.5999999999999</x:v>
      </x:c>
      <x:c r="J130" s="238" t="n">
        <x:f>J97-J64</x:f>
        <x:v>-1046.960000000001</x:v>
      </x:c>
      <x:c r="K130" s="171"/>
      <x:c r="L130" s="171"/>
      <x:c r="M130" s="171"/>
      <x:c r="N130" s="171"/>
    </x:row>
    <x:row r="131" ht="18" customHeight="1">
      <x:c r="C131" s="231" t="str">
        <x:v>Corporate room nights</x:v>
      </x:c>
      <x:c r="D131" s="238" t="n">
        <x:f>D98-D65</x:f>
        <x:v>2.5</x:v>
      </x:c>
      <x:c r="E131" s="238" t="n">
        <x:f>E98-E65</x:f>
        <x:v>25.560000000000002</x:v>
      </x:c>
      <x:c r="F131" s="238" t="n">
        <x:f>F98-F65</x:f>
        <x:v>85.19999999999993</x:v>
      </x:c>
      <x:c r="G131" s="238" t="n">
        <x:f>G98-G65</x:f>
        <x:v>125</x:v>
      </x:c>
      <x:c r="H131" s="238" t="n">
        <x:f>H98-H65</x:f>
        <x:v>160.10000000000002</x:v>
      </x:c>
      <x:c r="I131" s="238" t="n">
        <x:f>I98-I65</x:f>
        <x:v>108.60000000000002</x:v>
      </x:c>
      <x:c r="J131" s="238" t="n">
        <x:f>J98-J65</x:f>
        <x:v>506.9599999999996</x:v>
      </x:c>
      <x:c r="K131" s="171"/>
      <x:c r="L131" s="171"/>
      <x:c r="M131" s="171"/>
      <x:c r="N131" s="171"/>
    </x:row>
    <x:row r="132" ht="18" customHeight="1">
      <x:c r="C132" s="234" t="str">
        <x:v>Corporate share</x:v>
      </x:c>
      <x:c r="D132" s="255" t="n">
        <x:f>(D99-D66)*100</x:f>
        <x:v>1.0012062726176107</x:v>
      </x:c>
      <x:c r="E132" s="255" t="n">
        <x:f>(E99-E66)*100</x:f>
        <x:v>1.9800498753117235</x:v>
      </x:c>
      <x:c r="F132" s="255" t="n">
        <x:f>(F99-F66)*100</x:f>
        <x:v>5.9812695109261185</x:v>
      </x:c>
      <x:c r="G132" s="255" t="n">
        <x:f>(G99-G66)*100</x:f>
        <x:v>9.025641025641024</x:v>
      </x:c>
      <x:c r="H132" s="255" t="n">
        <x:f>(H99-H66)*100</x:f>
        <x:v>10.021037868162697</x:v>
      </x:c>
      <x:c r="I132" s="255" t="n">
        <x:f>(I99-I66)*100</x:f>
        <x:v>5.986754966887419</x:v>
      </x:c>
      <x:c r="J132" s="255" t="n">
        <x:f>(J99-J66)*100</x:f>
        <x:v>5.951194510770986</x:v>
      </x:c>
      <x:c r="K132" s="171"/>
      <x:c r="L132" s="171"/>
      <x:c r="M132" s="171"/>
      <x:c r="N132" s="171"/>
    </x:row>
    <x:row r="133" ht="18" customHeight="1">
      <x:c r="C133" s="231" t="str">
        <x:v>Retail ADR</x:v>
      </x:c>
      <x:c r="D133" s="240" t="n">
        <x:f>D100-D67</x:f>
        <x:v>1</x:v>
      </x:c>
      <x:c r="E133" s="240" t="n">
        <x:f>E100-E67</x:f>
        <x:v>1</x:v>
      </x:c>
      <x:c r="F133" s="240" t="n">
        <x:f>F100-F67</x:f>
        <x:v>0.5</x:v>
      </x:c>
      <x:c r="G133" s="240" t="n">
        <x:f>G100-G67</x:f>
        <x:v>0</x:v>
      </x:c>
      <x:c r="H133" s="240" t="n">
        <x:f>H100-H67</x:f>
        <x:v>-1</x:v>
      </x:c>
      <x:c r="I133" s="240" t="n">
        <x:f>I100-I67</x:f>
        <x:v>1</x:v>
      </x:c>
      <x:c r="J133" s="240" t="n">
        <x:f>J100-J67</x:f>
        <x:v>-0.0740887250807134</x:v>
      </x:c>
      <x:c r="K133" s="171"/>
      <x:c r="L133" s="171"/>
      <x:c r="M133" s="171"/>
      <x:c r="N133" s="171"/>
    </x:row>
    <x:row r="134" ht="18" customHeight="1">
      <x:c r="C134" s="231" t="str">
        <x:v>Corporate ADR</x:v>
      </x:c>
      <x:c r="D134" s="240" t="n">
        <x:f>D101-D68</x:f>
        <x:v>0.5</x:v>
      </x:c>
      <x:c r="E134" s="240" t="n">
        <x:f>E101-E68</x:f>
        <x:v>0</x:v>
      </x:c>
      <x:c r="F134" s="240" t="n">
        <x:f>F101-F68</x:f>
        <x:v>0.5</x:v>
      </x:c>
      <x:c r="G134" s="240" t="n">
        <x:f>G101-G68</x:f>
        <x:v>0.5</x:v>
      </x:c>
      <x:c r="H134" s="240" t="n">
        <x:f>H101-H68</x:f>
        <x:v>0</x:v>
      </x:c>
      <x:c r="I134" s="240" t="n">
        <x:f>I101-I68</x:f>
        <x:v>0.5</x:v>
      </x:c>
      <x:c r="J134" s="240" t="n">
        <x:f>J101-J68</x:f>
        <x:v>0.5700411709727291</x:v>
      </x:c>
      <x:c r="K134" s="171"/>
      <x:c r="L134" s="171"/>
      <x:c r="M134" s="171"/>
      <x:c r="N134" s="171"/>
    </x:row>
    <x:row r="135" ht="18" customHeight="1">
      <x:c r="C135" s="231" t="str">
        <x:v>Blended ADR</x:v>
      </x:c>
      <x:c r="D135" s="240" t="n">
        <x:f>D102-D69</x:f>
        <x:v>0.6647768395657465</x:v>
      </x:c>
      <x:c r="E135" s="240" t="n">
        <x:f>E102-E69</x:f>
        <x:v>0.29399002493764215</x:v>
      </x:c>
      <x:c r="F135" s="240" t="n">
        <x:f>F102-F69</x:f>
        <x:v>-0.7560665972944491</x:v>
      </x:c>
      <x:c r="G135" s="240" t="n">
        <x:f>G102-G69</x:f>
        <x:v>-1.9510256410256375</x:v>
      </x:c>
      <x:c r="H135" s="240" t="n">
        <x:f>H102-H69</x:f>
        <x:v>-3.255469845722274</x:v>
      </x:c>
      <x:c r="I135" s="240" t="n">
        <x:f>I102-I69</x:f>
        <x:v>-1.1256953642384246</x:v>
      </x:c>
      <x:c r="J135" s="240" t="n">
        <x:f>J102-J69</x:f>
        <x:v>-1.213524640538509</x:v>
      </x:c>
      <x:c r="K135" s="171"/>
      <x:c r="L135" s="171"/>
      <x:c r="M135" s="171"/>
      <x:c r="N135" s="171"/>
    </x:row>
    <x:row r="136" ht="18" customHeight="1">
      <x:c r="C136" s="231" t="str">
        <x:v>RevPAR</x:v>
      </x:c>
      <x:c r="D136" s="240" t="n">
        <x:f>D103-D70</x:f>
        <x:v>-1.8367741935483934</x:v>
      </x:c>
      <x:c r="E136" s="240" t="n">
        <x:f>E103-E70</x:f>
        <x:v>-0.875228571428579</x:v>
      </x:c>
      <x:c r="F136" s="240" t="n">
        <x:f>F103-F70</x:f>
        <x:v>-5.007161290322557</x:v>
      </x:c>
      <x:c r="G136" s="240" t="n">
        <x:f>G103-G70</x:f>
        <x:v>-9.06016666666666</x:v>
      </x:c>
      <x:c r="H136" s="240" t="n">
        <x:f>H103-H70</x:f>
        <x:v>-10.373774193548385</x:v>
      </x:c>
      <x:c r="I136" s="240" t="n">
        <x:f>I103-I70</x:f>
        <x:v>-5.061899999999994</x:v>
      </x:c>
      <x:c r="J136" s="240" t="n">
        <x:f>J103-J70</x:f>
        <x:v>-5.424958011049711</x:v>
      </x:c>
      <x:c r="K136" s="171"/>
      <x:c r="L136" s="171"/>
      <x:c r="M136" s="171"/>
      <x:c r="N136" s="171"/>
    </x:row>
    <x:row r="137" ht="18" customHeight="1">
      <x:c r="C137" s="231" t="str">
        <x:v>Retail room revenue</x:v>
      </x:c>
      <x:c r="D137" s="242" t="n">
        <x:f>D104-D71</x:f>
        <x:v>-6281</x:v>
      </x:c>
      <x:c r="E137" s="242" t="n">
        <x:f>E104-E71</x:f>
        <x:v>-5850.119999999995</x:v>
      </x:c>
      <x:c r="F137" s="242" t="n">
        <x:f>F104-F71</x:f>
        <x:v>-27559.599999999977</x:v>
      </x:c>
      <x:c r="G137" s="242" t="n">
        <x:f>G104-G71</x:f>
        <x:v>-45100</x:v>
      </x:c>
      <x:c r="H137" s="242" t="n">
        <x:f>H104-H71</x:f>
        <x:v>-55373.19999999998</x:v>
      </x:c>
      <x:c r="I137" s="242" t="n">
        <x:f>I104-I71</x:f>
        <x:v>-31734</x:v>
      </x:c>
      <x:c r="J137" s="242" t="n">
        <x:f>J104-J71</x:f>
        <x:v>-171897.91999999993</x:v>
      </x:c>
      <x:c r="K137" s="171"/>
      <x:c r="L137" s="171"/>
      <x:c r="M137" s="171"/>
      <x:c r="N137" s="171"/>
    </x:row>
    <x:row r="138" ht="18" customHeight="1">
      <x:c r="C138" s="231" t="str">
        <x:v>Corporate room revenue</x:v>
      </x:c>
      <x:c r="D138" s="242" t="n">
        <x:f>D105-D72</x:f>
        <x:v>587</x:v>
      </x:c>
      <x:c r="E138" s="242" t="n">
        <x:f>E105-E72</x:f>
        <x:v>3399.479999999996</x:v>
      </x:c>
      <x:c r="F138" s="242" t="n">
        <x:f>F105-F72</x:f>
        <x:v>12037.399999999994</x:v>
      </x:c>
      <x:c r="G138" s="242" t="n">
        <x:f>G105-G72</x:f>
        <x:v>17919.5</x:v>
      </x:c>
      <x:c r="H138" s="242" t="n">
        <x:f>H105-H72</x:f>
        <x:v>23214.5</x:v>
      </x:c>
      <x:c r="I138" s="242" t="n">
        <x:f>I105-I72</x:f>
        <x:v>16548.300000000003</x:v>
      </x:c>
      <x:c r="J138" s="242" t="n">
        <x:f>J105-J72</x:f>
        <x:v>73706.18000000005</x:v>
      </x:c>
      <x:c r="K138" s="171"/>
      <x:c r="L138" s="171"/>
      <x:c r="M138" s="171"/>
      <x:c r="N138" s="171"/>
    </x:row>
    <x:row r="139" ht="18" customHeight="1">
      <x:c r="C139" s="243" t="str">
        <x:v>Total room revenue</x:v>
      </x:c>
      <x:c r="D139" s="245" t="n">
        <x:f>D106-D73</x:f>
        <x:v>-5694</x:v>
      </x:c>
      <x:c r="E139" s="245" t="n">
        <x:f>E106-E73</x:f>
        <x:v>-2450.640000000014</x:v>
      </x:c>
      <x:c r="F139" s="245" t="n">
        <x:f>F106-F73</x:f>
        <x:v>-15522.199999999953</x:v>
      </x:c>
      <x:c r="G139" s="245" t="n">
        <x:f>G106-G73</x:f>
        <x:v>-27180.5</x:v>
      </x:c>
      <x:c r="H139" s="245" t="n">
        <x:f>H106-H73</x:f>
        <x:v>-32158.699999999953</x:v>
      </x:c>
      <x:c r="I139" s="245" t="n">
        <x:f>I106-I73</x:f>
        <x:v>-15185.700000000012</x:v>
      </x:c>
      <x:c r="J139" s="245" t="n">
        <x:f>J106-J73</x:f>
        <x:v>-98191.73999999976</x:v>
      </x:c>
      <x:c r="K139" s="171"/>
      <x:c r="L139" s="171"/>
      <x:c r="M139" s="171"/>
      <x:c r="N139" s="171"/>
    </x:row>
    <x:row r="140" ht="18" customHeight="1">
      <x:c r="C140" s="231" t="str">
        <x:v>Housekeeping hours</x:v>
      </x:c>
      <x:c r="D140" s="238" t="n">
        <x:f>D107-D74</x:f>
        <x:v>-9.740000000000123</x:v>
      </x:c>
      <x:c r="E140" s="238" t="n">
        <x:f>E107-E74</x:f>
        <x:v>-11</x:v>
      </x:c>
      <x:c r="F140" s="238" t="n">
        <x:f>F107-F74</x:f>
        <x:v>-11.7800000000002</x:v>
      </x:c>
      <x:c r="G140" s="238" t="n">
        <x:f>G107-G74</x:f>
        <x:v>96</x:v>
      </x:c>
      <x:c r="H140" s="238" t="n">
        <x:f>H107-H74</x:f>
        <x:v>90.51999999999998</x:v>
      </x:c>
      <x:c r="I140" s="238" t="n">
        <x:f>I107-I74</x:f>
        <x:v>75</x:v>
      </x:c>
      <x:c r="J140" s="238" t="n">
        <x:f>J107-J74</x:f>
        <x:v>228.99999999999818</x:v>
      </x:c>
      <x:c r="K140" s="171"/>
      <x:c r="L140" s="171"/>
      <x:c r="M140" s="171"/>
      <x:c r="N140" s="171"/>
    </x:row>
    <x:row r="141" ht="18" customHeight="1">
      <x:c r="C141" s="234" t="str">
        <x:v>Housekeeping hours per occupied room</x:v>
      </x:c>
      <x:c r="D141" s="247" t="n">
        <x:f>D108-D75</x:f>
        <x:v>0.009999999999999898</x:v>
      </x:c>
      <x:c r="E141" s="247" t="n">
        <x:f>E108-E75</x:f>
        <x:v>0</x:v>
      </x:c>
      <x:c r="F141" s="247" t="n">
        <x:f>F108-F75</x:f>
        <x:v>0.019999999999999907</x:v>
      </x:c>
      <x:c r="G141" s="247" t="n">
        <x:f>G108-G75</x:f>
        <x:v>0.08999999999999997</x:v>
      </x:c>
      <x:c r="H141" s="247" t="n">
        <x:f>H108-H75</x:f>
        <x:v>0.08000000000000007</x:v>
      </x:c>
      <x:c r="I141" s="247" t="n">
        <x:f>I108-I75</x:f>
        <x:v>0.050000000000000044</x:v>
      </x:c>
      <x:c r="J141" s="247" t="n">
        <x:f>J108-J75</x:f>
        <x:v>0.04478435669965286</x:v>
      </x:c>
      <x:c r="K141" s="171"/>
      <x:c r="L141" s="171"/>
      <x:c r="M141" s="171"/>
      <x:c r="N141" s="171"/>
    </x:row>
    <x:row r="142" ht="18" customHeight="1">
      <x:c r="C142" s="234" t="str">
        <x:v>Effective housekeeping wage per hour</x:v>
      </x:c>
      <x:c r="D142" s="249" t="n">
        <x:f>D109-D76</x:f>
        <x:v>-0.10000423253549684</x:v>
      </x:c>
      <x:c r="E142" s="249" t="n">
        <x:f>E109-E76</x:f>
        <x:v>0</x:v>
      </x:c>
      <x:c r="F142" s="249" t="n">
        <x:f>F109-F76</x:f>
        <x:v>0.09999814181655964</x:v>
      </x:c>
      <x:c r="G142" s="249" t="n">
        <x:f>G109-G76</x:f>
        <x:v>1.25</x:v>
      </x:c>
      <x:c r="H142" s="249" t="n">
        <x:f>H109-H76</x:f>
        <x:v>1.2499999999999964</x:v>
      </x:c>
      <x:c r="I142" s="249" t="n">
        <x:f>I109-I76</x:f>
        <x:v>1.2499999999999964</x:v>
      </x:c>
      <x:c r="J142" s="249" t="n">
        <x:f>J109-J76</x:f>
        <x:v>0.7073606246942745</x:v>
      </x:c>
      <x:c r="K142" s="171"/>
      <x:c r="L142" s="171"/>
      <x:c r="M142" s="171"/>
      <x:c r="N142" s="171"/>
    </x:row>
    <x:row r="143" ht="18" customHeight="1">
      <x:c r="C143" s="231" t="str">
        <x:v>Housekeeping payroll</x:v>
      </x:c>
      <x:c r="D143" s="242" t="n">
        <x:f>D110-D77</x:f>
        <x:v>-308.7900000000009</x:v>
      </x:c>
      <x:c r="E143" s="242" t="n">
        <x:f>E110-E77</x:f>
        <x:v>-242</x:v>
      </x:c>
      <x:c r="F143" s="242" t="n">
        <x:f>F110-F77</x:f>
        <x:v>-151.5300000000061</x:v>
      </x:c>
      <x:c r="G143" s="242" t="n">
        <x:f>G110-G77</x:f>
        <x:v>3623.25</x:v>
      </x:c>
      <x:c r="H143" s="242" t="n">
        <x:f>H110-H77</x:f>
        <x:v>3595.6899999999987</x:v>
      </x:c>
      <x:c r="I143" s="242" t="n">
        <x:f>I110-I77</x:f>
        <x:v>3235.4999999999964</x:v>
      </x:c>
      <x:c r="J143" s="242" t="n">
        <x:f>J110-J77</x:f>
        <x:v>9752.119999999995</x:v>
      </x:c>
      <x:c r="K143" s="171"/>
      <x:c r="L143" s="171"/>
      <x:c r="M143" s="171"/>
      <x:c r="N143" s="171"/>
    </x:row>
    <x:row r="144" ht="18" customHeight="1">
      <x:c r="C144" s="234" t="str">
        <x:v>Guest-service cost per occupied room</x:v>
      </x:c>
      <x:c r="D144" s="249" t="n">
        <x:f>D111-D78</x:f>
        <x:v>0.09999999999999787</x:v>
      </x:c>
      <x:c r="E144" s="249" t="n">
        <x:f>E111-E78</x:f>
        <x:v>-0.1999999999999993</x:v>
      </x:c>
      <x:c r="F144" s="249" t="n">
        <x:f>F111-F78</x:f>
        <x:v>0.09999999999999787</x:v>
      </x:c>
      <x:c r="G144" s="249" t="n">
        <x:f>G111-G78</x:f>
        <x:v>0.1999999999999993</x:v>
      </x:c>
      <x:c r="H144" s="249" t="n">
        <x:f>H111-H78</x:f>
        <x:v>0.29999999999999716</x:v>
      </x:c>
      <x:c r="I144" s="249" t="n">
        <x:f>I111-I78</x:f>
        <x:v>0.3000000000000007</x:v>
      </x:c>
      <x:c r="J144" s="249" t="n">
        <x:f>J111-J78</x:f>
        <x:v>0.14770830475544372</x:v>
      </x:c>
      <x:c r="K144" s="171"/>
      <x:c r="L144" s="171"/>
      <x:c r="M144" s="171"/>
      <x:c r="N144" s="171"/>
    </x:row>
    <x:row r="145" ht="18" customHeight="1">
      <x:c r="C145" s="231" t="str">
        <x:v>Guest-service expense</x:v>
      </x:c>
      <x:c r="D145" s="242" t="n">
        <x:f>D112-D79</x:f>
        <x:v>-703.7000000000007</x:v>
      </x:c>
      <x:c r="E145" s="242" t="n">
        <x:f>E112-E79</x:f>
        <x:v>-694.7999999999993</x:v>
      </x:c>
      <x:c r="F145" s="242" t="n">
        <x:f>F112-F79</x:f>
        <x:v>-1574.800000000003</x:v>
      </x:c>
      <x:c r="G145" s="242" t="n">
        <x:f>G112-G79</x:f>
        <x:v>-2490</x:v>
      </x:c>
      <x:c r="H145" s="242" t="n">
        <x:f>H112-H79</x:f>
        <x:v>-2380.800000000003</x:v>
      </x:c>
      <x:c r="I145" s="242" t="n">
        <x:f>I112-I79</x:f>
        <x:v>-805.5</x:v>
      </x:c>
      <x:c r="J145" s="242" t="n">
        <x:f>J112-J79</x:f>
        <x:v>-8649.599999999977</x:v>
      </x:c>
      <x:c r="K145" s="171"/>
      <x:c r="L145" s="171"/>
      <x:c r="M145" s="171"/>
      <x:c r="N145" s="171"/>
    </x:row>
    <x:row r="146" ht="18" customHeight="1">
      <x:c r="C146" s="234" t="str">
        <x:v>Distribution fee rate</x:v>
      </x:c>
      <x:c r="D146" s="255" t="n">
        <x:f>(D113-D80)*100</x:f>
        <x:v>-6.938893903907228e-16</x:v>
      </x:c>
      <x:c r="E146" s="255" t="n">
        <x:f>(E113-E80)*100</x:f>
        <x:v>0</x:v>
      </x:c>
      <x:c r="F146" s="255" t="n">
        <x:f>(F113-F80)*100</x:f>
        <x:v>0</x:v>
      </x:c>
      <x:c r="G146" s="255" t="n">
        <x:f>(G113-G80)*100</x:f>
        <x:v>0</x:v>
      </x:c>
      <x:c r="H146" s="255" t="n">
        <x:f>(H113-H80)*100</x:f>
        <x:v>0</x:v>
      </x:c>
      <x:c r="I146" s="255" t="n">
        <x:f>(I113-I80)*100</x:f>
        <x:v>0</x:v>
      </x:c>
      <x:c r="J146" s="255" t="n">
        <x:f>(J113-J80)*100</x:f>
        <x:v>-6.938893903907228e-16</x:v>
      </x:c>
      <x:c r="K146" s="171"/>
      <x:c r="L146" s="171"/>
      <x:c r="M146" s="171"/>
      <x:c r="N146" s="171"/>
    </x:row>
    <x:row r="147" ht="18" customHeight="1">
      <x:c r="C147" s="231" t="str">
        <x:v>Distribution and payment expense</x:v>
      </x:c>
      <x:c r="D147" s="242" t="n">
        <x:f>D114-D81</x:f>
        <x:v>-227.76000000000022</x:v>
      </x:c>
      <x:c r="E147" s="242" t="n">
        <x:f>E114-E81</x:f>
        <x:v>-98.02560000000085</x:v>
      </x:c>
      <x:c r="F147" s="242" t="n">
        <x:f>F114-F81</x:f>
        <x:v>-620.8879999999972</x:v>
      </x:c>
      <x:c r="G147" s="242" t="n">
        <x:f>G114-G81</x:f>
        <x:v>-1087.2199999999993</x:v>
      </x:c>
      <x:c r="H147" s="242" t="n">
        <x:f>H114-H81</x:f>
        <x:v>-1286.3479999999981</x:v>
      </x:c>
      <x:c r="I147" s="242" t="n">
        <x:f>I114-I81</x:f>
        <x:v>-607.4280000000017</x:v>
      </x:c>
      <x:c r="J147" s="242" t="n">
        <x:f>J114-J81</x:f>
        <x:v>-3927.669599999994</x:v>
      </x:c>
      <x:c r="K147" s="171"/>
      <x:c r="L147" s="171"/>
      <x:c r="M147" s="171"/>
      <x:c r="N147" s="171"/>
    </x:row>
    <x:row r="148" ht="18" customHeight="1">
      <x:c r="C148" s="231" t="str">
        <x:v>Average fixed-staff FTE</x:v>
      </x:c>
      <x:c r="D148" s="251" t="n">
        <x:f>D115-D82</x:f>
        <x:v>0</x:v>
      </x:c>
      <x:c r="E148" s="251" t="n">
        <x:f>E115-E82</x:f>
        <x:v>0</x:v>
      </x:c>
      <x:c r="F148" s="251" t="n">
        <x:f>F115-F82</x:f>
        <x:v>0</x:v>
      </x:c>
      <x:c r="G148" s="251" t="n">
        <x:f>G115-G82</x:f>
        <x:v>0</x:v>
      </x:c>
      <x:c r="H148" s="251" t="n">
        <x:f>H115-H82</x:f>
        <x:v>0</x:v>
      </x:c>
      <x:c r="I148" s="251" t="n">
        <x:f>I115-I82</x:f>
        <x:v>0</x:v>
      </x:c>
      <x:c r="J148" s="251" t="n">
        <x:f>J115-J82</x:f>
        <x:v>0</x:v>
      </x:c>
      <x:c r="K148" s="171"/>
      <x:c r="L148" s="171"/>
      <x:c r="M148" s="171"/>
      <x:c r="N148" s="171"/>
    </x:row>
    <x:row r="149" ht="18" customHeight="1">
      <x:c r="C149" s="231" t="str">
        <x:v>Fixed-staff cost per FTE-month</x:v>
      </x:c>
      <x:c r="D149" s="240" t="n">
        <x:f>D116-D83</x:f>
        <x:v>-20</x:v>
      </x:c>
      <x:c r="E149" s="240" t="n">
        <x:f>E116-E83</x:f>
        <x:v>5</x:v>
      </x:c>
      <x:c r="F149" s="240" t="n">
        <x:f>F116-F83</x:f>
        <x:v>15</x:v>
      </x:c>
      <x:c r="G149" s="240" t="n">
        <x:f>G116-G83</x:f>
        <x:v>40</x:v>
      </x:c>
      <x:c r="H149" s="240" t="n">
        <x:f>H116-H83</x:f>
        <x:v>70</x:v>
      </x:c>
      <x:c r="I149" s="240" t="n">
        <x:f>I116-I83</x:f>
        <x:v>50</x:v>
      </x:c>
      <x:c r="J149" s="240" t="n">
        <x:f>J116-J83</x:f>
        <x:v>26.66666666666697</x:v>
      </x:c>
      <x:c r="K149" s="171"/>
      <x:c r="L149" s="171"/>
      <x:c r="M149" s="171"/>
      <x:c r="N149" s="171"/>
    </x:row>
    <x:row r="150" ht="18" customHeight="1">
      <x:c r="C150" s="231" t="str">
        <x:v>Fixed-staff payroll</x:v>
      </x:c>
      <x:c r="D150" s="242" t="n">
        <x:f>D117-D84</x:f>
        <x:v>-100</x:v>
      </x:c>
      <x:c r="E150" s="242" t="n">
        <x:f>E117-E84</x:f>
        <x:v>25</x:v>
      </x:c>
      <x:c r="F150" s="242" t="n">
        <x:f>F117-F84</x:f>
        <x:v>75</x:v>
      </x:c>
      <x:c r="G150" s="242" t="n">
        <x:f>G117-G84</x:f>
        <x:v>200</x:v>
      </x:c>
      <x:c r="H150" s="242" t="n">
        <x:f>H117-H84</x:f>
        <x:v>350</x:v>
      </x:c>
      <x:c r="I150" s="242" t="n">
        <x:f>I117-I84</x:f>
        <x:v>250</x:v>
      </x:c>
      <x:c r="J150" s="242" t="n">
        <x:f>J117-J84</x:f>
        <x:v>800</x:v>
      </x:c>
      <x:c r="K150" s="171"/>
      <x:c r="L150" s="171"/>
      <x:c r="M150" s="171"/>
      <x:c r="N150" s="171"/>
    </x:row>
    <x:row r="151" ht="18" customHeight="1">
      <x:c r="C151" s="231" t="str">
        <x:v>Rent</x:v>
      </x:c>
      <x:c r="D151" s="242" t="n">
        <x:f>D118-D85</x:f>
        <x:v>0</x:v>
      </x:c>
      <x:c r="E151" s="242" t="n">
        <x:f>E118-E85</x:f>
        <x:v>0</x:v>
      </x:c>
      <x:c r="F151" s="242" t="n">
        <x:f>F118-F85</x:f>
        <x:v>0</x:v>
      </x:c>
      <x:c r="G151" s="242" t="n">
        <x:f>G118-G85</x:f>
        <x:v>0</x:v>
      </x:c>
      <x:c r="H151" s="242" t="n">
        <x:f>H118-H85</x:f>
        <x:v>0</x:v>
      </x:c>
      <x:c r="I151" s="242" t="n">
        <x:f>I118-I85</x:f>
        <x:v>0</x:v>
      </x:c>
      <x:c r="J151" s="242" t="n">
        <x:f>J118-J85</x:f>
        <x:v>0</x:v>
      </x:c>
      <x:c r="K151" s="171"/>
      <x:c r="L151" s="171"/>
      <x:c r="M151" s="171"/>
      <x:c r="N151" s="171"/>
    </x:row>
    <x:row r="152" ht="18" customHeight="1">
      <x:c r="C152" s="231" t="str">
        <x:v>Property overhead</x:v>
      </x:c>
      <x:c r="D152" s="242" t="n">
        <x:f>D119-D86</x:f>
        <x:v>50</x:v>
      </x:c>
      <x:c r="E152" s="242" t="n">
        <x:f>E119-E86</x:f>
        <x:v>-180</x:v>
      </x:c>
      <x:c r="F152" s="242" t="n">
        <x:f>F119-F86</x:f>
        <x:v>120</x:v>
      </x:c>
      <x:c r="G152" s="242" t="n">
        <x:f>G119-G86</x:f>
        <x:v>110</x:v>
      </x:c>
      <x:c r="H152" s="242" t="n">
        <x:f>H119-H86</x:f>
        <x:v>1450</x:v>
      </x:c>
      <x:c r="I152" s="242" t="n">
        <x:f>I119-I86</x:f>
        <x:v>210</x:v>
      </x:c>
      <x:c r="J152" s="242" t="n">
        <x:f>J119-J86</x:f>
        <x:v>1760</x:v>
      </x:c>
      <x:c r="K152" s="171"/>
      <x:c r="L152" s="171"/>
      <x:c r="M152" s="171"/>
      <x:c r="N152" s="171"/>
    </x:row>
    <x:row r="153" ht="18" customHeight="1">
      <x:c r="C153" s="231" t="str">
        <x:v>Marketing</x:v>
      </x:c>
      <x:c r="D153" s="242" t="n">
        <x:f>D120-D87</x:f>
        <x:v>200</x:v>
      </x:c>
      <x:c r="E153" s="242" t="n">
        <x:f>E120-E87</x:f>
        <x:v>-200</x:v>
      </x:c>
      <x:c r="F153" s="242" t="n">
        <x:f>F120-F87</x:f>
        <x:v>300</x:v>
      </x:c>
      <x:c r="G153" s="242" t="n">
        <x:f>G120-G87</x:f>
        <x:v>100</x:v>
      </x:c>
      <x:c r="H153" s="242" t="n">
        <x:f>H120-H87</x:f>
        <x:v>200</x:v>
      </x:c>
      <x:c r="I153" s="242" t="n">
        <x:f>I120-I87</x:f>
        <x:v>-18000</x:v>
      </x:c>
      <x:c r="J153" s="242" t="n">
        <x:f>J120-J87</x:f>
        <x:v>-17400</x:v>
      </x:c>
      <x:c r="K153" s="171"/>
      <x:c r="L153" s="171"/>
      <x:c r="M153" s="171"/>
      <x:c r="N153" s="171"/>
    </x:row>
    <x:row r="154" ht="18" customHeight="1">
      <x:c r="C154" s="243" t="str">
        <x:v>Total operating costs</x:v>
      </x:c>
      <x:c r="D154" s="245" t="n">
        <x:f>D121-D88</x:f>
        <x:v>-1090.25</x:v>
      </x:c>
      <x:c r="E154" s="245" t="n">
        <x:f>E121-E88</x:f>
        <x:v>-1389.825600000011</x:v>
      </x:c>
      <x:c r="F154" s="245" t="n">
        <x:f>F121-F88</x:f>
        <x:v>-1852.2180000000226</x:v>
      </x:c>
      <x:c r="G154" s="245" t="n">
        <x:f>G121-G88</x:f>
        <x:v>456.02999999999884</x:v>
      </x:c>
      <x:c r="H154" s="245" t="n">
        <x:f>H121-H88</x:f>
        <x:v>1928.5419999999867</x:v>
      </x:c>
      <x:c r="I154" s="245" t="n">
        <x:f>I121-I88</x:f>
        <x:v>-15717.427999999985</x:v>
      </x:c>
      <x:c r="J154" s="245" t="n">
        <x:f>J121-J88</x:f>
        <x:v>-17665.149599999888</x:v>
      </x:c>
      <x:c r="K154" s="171"/>
      <x:c r="L154" s="171"/>
      <x:c r="M154" s="171"/>
      <x:c r="N154" s="171"/>
    </x:row>
    <x:row r="155" ht="18" customHeight="1">
      <x:c r="C155" s="243" t="str">
        <x:v>Property operating contribution</x:v>
      </x:c>
      <x:c r="D155" s="245" t="n">
        <x:f>D122-D89</x:f>
        <x:v>-4603.75</x:v>
      </x:c>
      <x:c r="E155" s="245" t="n">
        <x:f>E122-E89</x:f>
        <x:v>-1060.814400000003</x:v>
      </x:c>
      <x:c r="F155" s="245" t="n">
        <x:f>F122-F89</x:f>
        <x:v>-13669.98199999993</x:v>
      </x:c>
      <x:c r="G155" s="245" t="n">
        <x:f>G122-G89</x:f>
        <x:v>-27636.53</x:v>
      </x:c>
      <x:c r="H155" s="245" t="n">
        <x:f>H122-H89</x:f>
        <x:v>-34087.24199999994</x:v>
      </x:c>
      <x:c r="I155" s="245" t="n">
        <x:f>I122-I89</x:f>
        <x:v>531.7279999999737</x:v>
      </x:c>
      <x:c r="J155" s="245" t="n">
        <x:f>J122-J89</x:f>
        <x:v>-80526.59039999987</x:v>
      </x:c>
      <x:c r="K155" s="171"/>
      <x:c r="L155" s="171"/>
      <x:c r="M155" s="171"/>
      <x:c r="N155" s="171"/>
    </x:row>
    <x:row r="156" ht="18" customHeight="1">
      <x:c r="C156" s="252" t="str">
        <x:v>Contribution margin</x:v>
      </x:c>
      <x:c r="D156" s="256" t="n">
        <x:f>(D123-D90)*100</x:f>
        <x:v>-1.5458027137111807</x:v>
      </x:c>
      <x:c r="E156" s="256" t="n">
        <x:f>(E123-E90)*100</x:f>
        <x:v>-0.3080409296410652</x:v>
      </x:c>
      <x:c r="F156" s="256" t="n">
        <x:f>(F123-F90)*100</x:f>
        <x:v>-3.2657280239539372</x:v>
      </x:c>
      <x:c r="G156" s="256" t="n">
        <x:f>(G123-G90)*100</x:f>
        <x:v>-6.448362113858821</x:v>
      </x:c>
      <x:c r="H156" s="256" t="n">
        <x:f>(H123-H90)*100</x:f>
        <x:v>-6.559402931114033</x:v>
      </x:c>
      <x:c r="I156" s="256" t="n">
        <x:f>(I123-I90)*100</x:f>
        <x:v>1.610535991706169</x:v>
      </x:c>
      <x:c r="J156" s="256" t="n">
        <x:f>(J123-J90)*100</x:f>
        <x:v>-2.9507680555668605</x:v>
      </x:c>
      <x:c r="K156" s="171"/>
      <x:c r="L156" s="171"/>
      <x:c r="M156" s="171"/>
      <x:c r="N156" s="171"/>
    </x:row>
    <x:row r="157" ht="18" customHeight="1">
      <x:c r="C157" s="171"/>
      <x:c r="D157" s="171"/>
      <x:c r="E157" s="171"/>
      <x:c r="F157" s="171"/>
      <x:c r="G157" s="171"/>
      <x:c r="H157" s="171"/>
      <x:c r="I157" s="171"/>
      <x:c r="J157" s="171"/>
      <x:c r="K157" s="171"/>
      <x:c r="L157" s="171"/>
      <x:c r="M157" s="171"/>
      <x:c r="N157" s="171"/>
    </x:row>
    <x:row r="158" ht="24" customHeight="1">
      <x:c r="C158" s="431" t="str">
        <x:v>Revenue volume, mix, and rate bridge</x:v>
      </x:c>
      <x:c r="D158" s="432"/>
      <x:c r="E158" s="432"/>
      <x:c r="F158" s="432"/>
      <x:c r="G158" s="432"/>
      <x:c r="H158" s="432"/>
      <x:c r="I158" s="432"/>
      <x:c r="J158" s="433"/>
      <x:c r="K158" s="171"/>
      <x:c r="L158" s="171"/>
      <x:c r="M158" s="171"/>
      <x:c r="N158" s="171"/>
    </x:row>
    <x:row r="159" ht="18" customHeight="1">
      <x:c r="C159" s="174" t="str">
        <x:v>Actual minus Budget. Positive is favorable. Sequential order: volume, mix, then rate. Interaction effects follow this order; monthly effects sum to YTD.</x:v>
      </x:c>
      <x:c r="D159" s="174"/>
      <x:c r="E159" s="174"/>
      <x:c r="F159" s="174"/>
      <x:c r="G159" s="174"/>
      <x:c r="H159" s="174"/>
      <x:c r="I159" s="174"/>
      <x:c r="J159" s="174"/>
      <x:c r="K159" s="171"/>
      <x:c r="L159" s="171"/>
      <x:c r="M159" s="171"/>
      <x:c r="N159" s="171"/>
    </x:row>
    <x:row r="160" ht="32" customHeight="1">
      <x:c r="C160" s="438" t="str">
        <x:v>Metric</x:v>
      </x:c>
      <x:c r="D160" s="441" t="n">
        <x:v>46023</x:v>
      </x:c>
      <x:c r="E160" s="441" t="n">
        <x:v>46054</x:v>
      </x:c>
      <x:c r="F160" s="441" t="n">
        <x:v>46082</x:v>
      </x:c>
      <x:c r="G160" s="441" t="n">
        <x:v>46113</x:v>
      </x:c>
      <x:c r="H160" s="441" t="n">
        <x:v>46143</x:v>
      </x:c>
      <x:c r="I160" s="441" t="n">
        <x:v>46174</x:v>
      </x:c>
      <x:c r="J160" s="440" t="str">
        <x:v>YTD</x:v>
      </x:c>
      <x:c r="K160" s="171"/>
      <x:c r="L160" s="171"/>
      <x:c r="M160" s="171"/>
      <x:c r="N160" s="171"/>
    </x:row>
    <x:row r="161" ht="18" customHeight="1">
      <x:c r="C161" s="228" t="str">
        <x:v>Budget occupied room nights</x:v>
      </x:c>
      <x:c r="D161" s="266" t="n">
        <x:f>D62</x:f>
        <x:v>1705</x:v>
      </x:c>
      <x:c r="E161" s="266" t="n">
        <x:f>E62</x:f>
        <x:v>1624</x:v>
      </x:c>
      <x:c r="F161" s="266" t="n">
        <x:f>F62</x:f>
        <x:v>2015</x:v>
      </x:c>
      <x:c r="G161" s="266" t="n">
        <x:f>G62</x:f>
        <x:v>2100</x:v>
      </x:c>
      <x:c r="H161" s="266" t="n">
        <x:f>H62</x:f>
        <x:v>2294</x:v>
      </x:c>
      <x:c r="I161" s="266" t="n">
        <x:f>I62</x:f>
        <x:v>2340</x:v>
      </x:c>
      <x:c r="J161" s="266" t="n">
        <x:f>J62</x:f>
        <x:v>12078</x:v>
      </x:c>
      <x:c r="K161" s="171"/>
      <x:c r="L161" s="171"/>
      <x:c r="M161" s="171"/>
      <x:c r="N161" s="171"/>
    </x:row>
    <x:row r="162" ht="18" customHeight="1">
      <x:c r="C162" s="231" t="str">
        <x:v>Actual occupied room nights</x:v>
      </x:c>
      <x:c r="D162" s="238" t="n">
        <x:f>D95</x:f>
        <x:v>1658</x:v>
      </x:c>
      <x:c r="E162" s="238" t="n">
        <x:f>E95</x:f>
        <x:v>1604</x:v>
      </x:c>
      <x:c r="F162" s="238" t="n">
        <x:f>F95</x:f>
        <x:v>1922</x:v>
      </x:c>
      <x:c r="G162" s="238" t="n">
        <x:f>G95</x:f>
        <x:v>1950</x:v>
      </x:c>
      <x:c r="H162" s="238" t="n">
        <x:f>H95</x:f>
        <x:v>2139</x:v>
      </x:c>
      <x:c r="I162" s="238" t="n">
        <x:f>I95</x:f>
        <x:v>2265</x:v>
      </x:c>
      <x:c r="J162" s="238" t="n">
        <x:f>J95</x:f>
        <x:v>11538</x:v>
      </x:c>
      <x:c r="K162" s="171"/>
      <x:c r="L162" s="171"/>
      <x:c r="M162" s="171"/>
      <x:c r="N162" s="171"/>
    </x:row>
    <x:row r="163" ht="18" customHeight="1">
      <x:c r="C163" s="231" t="str">
        <x:v>Budget corporate share</x:v>
      </x:c>
      <x:c r="D163" s="260" t="n">
        <x:f>D66</x:f>
        <x:v>0.3</x:v>
      </x:c>
      <x:c r="E163" s="260" t="n">
        <x:f>E66</x:f>
        <x:v>0.31</x:v>
      </x:c>
      <x:c r="F163" s="260" t="n">
        <x:f>F66</x:f>
        <x:v>0.32</x:v>
      </x:c>
      <x:c r="G163" s="260" t="n">
        <x:f>G66</x:f>
        <x:v>0.34</x:v>
      </x:c>
      <x:c r="H163" s="260" t="n">
        <x:f>H66</x:f>
        <x:v>0.35</x:v>
      </x:c>
      <x:c r="I163" s="260" t="n">
        <x:f>I66</x:f>
        <x:v>0.36</x:v>
      </x:c>
      <x:c r="J163" s="260" t="n">
        <x:f>J66</x:f>
        <x:v>0.33275707898658724</x:v>
      </x:c>
      <x:c r="K163" s="171"/>
      <x:c r="L163" s="171"/>
      <x:c r="M163" s="171"/>
      <x:c r="N163" s="171"/>
    </x:row>
    <x:row r="164" ht="18" customHeight="1">
      <x:c r="C164" s="231" t="str">
        <x:v>Actual corporate share</x:v>
      </x:c>
      <x:c r="D164" s="260" t="n">
        <x:f>D99</x:f>
        <x:v>0.3100120627261761</x:v>
      </x:c>
      <x:c r="E164" s="260" t="n">
        <x:f>E99</x:f>
        <x:v>0.32980049875311723</x:v>
      </x:c>
      <x:c r="F164" s="260" t="n">
        <x:f>F99</x:f>
        <x:v>0.3798126951092612</x:v>
      </x:c>
      <x:c r="G164" s="260" t="n">
        <x:f>G99</x:f>
        <x:v>0.43025641025641026</x:v>
      </x:c>
      <x:c r="H164" s="260" t="n">
        <x:f>H99</x:f>
        <x:v>0.45021037868162694</x:v>
      </x:c>
      <x:c r="I164" s="260" t="n">
        <x:f>I99</x:f>
        <x:v>0.4198675496688742</x:v>
      </x:c>
      <x:c r="J164" s="260" t="n">
        <x:f>J99</x:f>
        <x:v>0.3922690240942971</x:v>
      </x:c>
      <x:c r="K164" s="171"/>
      <x:c r="L164" s="171"/>
      <x:c r="M164" s="171"/>
      <x:c r="N164" s="171"/>
    </x:row>
    <x:row r="165" ht="18" customHeight="1">
      <x:c r="C165" s="231" t="str">
        <x:v>Budget retail ADR</x:v>
      </x:c>
      <x:c r="D165" s="240" t="n">
        <x:f>D67</x:f>
        <x:v>150</x:v>
      </x:c>
      <x:c r="E165" s="240" t="n">
        <x:f>E67</x:f>
        <x:v>152</x:v>
      </x:c>
      <x:c r="F165" s="240" t="n">
        <x:f>F67</x:f>
        <x:v>158</x:v>
      </x:c>
      <x:c r="G165" s="240" t="n">
        <x:f>G67</x:f>
        <x:v>164</x:v>
      </x:c>
      <x:c r="H165" s="240" t="n">
        <x:f>H67</x:f>
        <x:v>172</x:v>
      </x:c>
      <x:c r="I165" s="240" t="n">
        <x:f>I67</x:f>
        <x:v>180</x:v>
      </x:c>
      <x:c r="J165" s="240" t="n">
        <x:f>J67</x:f>
        <x:v>163.69145894755647</x:v>
      </x:c>
      <x:c r="K165" s="171"/>
      <x:c r="L165" s="171"/>
      <x:c r="M165" s="171"/>
      <x:c r="N165" s="171"/>
    </x:row>
    <x:row r="166" ht="18" customHeight="1">
      <x:c r="C166" s="231" t="str">
        <x:v>Actual retail ADR</x:v>
      </x:c>
      <x:c r="D166" s="240" t="n">
        <x:f>D100</x:f>
        <x:v>151</x:v>
      </x:c>
      <x:c r="E166" s="240" t="n">
        <x:f>E100</x:f>
        <x:v>153</x:v>
      </x:c>
      <x:c r="F166" s="240" t="n">
        <x:f>F100</x:f>
        <x:v>158.5</x:v>
      </x:c>
      <x:c r="G166" s="240" t="n">
        <x:f>G100</x:f>
        <x:v>164</x:v>
      </x:c>
      <x:c r="H166" s="240" t="n">
        <x:f>H100</x:f>
        <x:v>171</x:v>
      </x:c>
      <x:c r="I166" s="240" t="n">
        <x:f>I100</x:f>
        <x:v>181</x:v>
      </x:c>
      <x:c r="J166" s="240" t="n">
        <x:f>J100</x:f>
        <x:v>163.61737022247576</x:v>
      </x:c>
      <x:c r="K166" s="171"/>
      <x:c r="L166" s="171"/>
      <x:c r="M166" s="171"/>
      <x:c r="N166" s="171"/>
    </x:row>
    <x:row r="167" ht="18" customHeight="1">
      <x:c r="C167" s="231" t="str">
        <x:v>Budget corporate ADR</x:v>
      </x:c>
      <x:c r="D167" s="240" t="n">
        <x:f>D68</x:f>
        <x:v>132</x:v>
      </x:c>
      <x:c r="E167" s="240" t="n">
        <x:f>E68</x:f>
        <x:v>133</x:v>
      </x:c>
      <x:c r="F167" s="240" t="n">
        <x:f>F68</x:f>
        <x:v>137</x:v>
      </x:c>
      <x:c r="G167" s="240" t="n">
        <x:f>G68</x:f>
        <x:v>140</x:v>
      </x:c>
      <x:c r="H167" s="240" t="n">
        <x:f>H68</x:f>
        <x:v>145</x:v>
      </x:c>
      <x:c r="I167" s="240" t="n">
        <x:f>I68</x:f>
        <x:v>148</x:v>
      </x:c>
      <x:c r="J167" s="240" t="n">
        <x:f>J68</x:f>
        <x:v>140.29937995143115</x:v>
      </x:c>
      <x:c r="K167" s="171"/>
      <x:c r="L167" s="171"/>
      <x:c r="M167" s="171"/>
      <x:c r="N167" s="171"/>
    </x:row>
    <x:row r="168" ht="18" customHeight="1">
      <x:c r="C168" s="231" t="str">
        <x:v>Actual corporate ADR</x:v>
      </x:c>
      <x:c r="D168" s="240" t="n">
        <x:f>D101</x:f>
        <x:v>132.5</x:v>
      </x:c>
      <x:c r="E168" s="240" t="n">
        <x:f>E101</x:f>
        <x:v>133</x:v>
      </x:c>
      <x:c r="F168" s="240" t="n">
        <x:f>F101</x:f>
        <x:v>137.5</x:v>
      </x:c>
      <x:c r="G168" s="240" t="n">
        <x:f>G101</x:f>
        <x:v>140.5</x:v>
      </x:c>
      <x:c r="H168" s="240" t="n">
        <x:f>H101</x:f>
        <x:v>145</x:v>
      </x:c>
      <x:c r="I168" s="240" t="n">
        <x:f>I101</x:f>
        <x:v>148.5</x:v>
      </x:c>
      <x:c r="J168" s="240" t="n">
        <x:f>J101</x:f>
        <x:v>140.86942112240388</x:v>
      </x:c>
      <x:c r="K168" s="171"/>
      <x:c r="L168" s="171"/>
      <x:c r="M168" s="171"/>
      <x:c r="N168" s="171"/>
    </x:row>
    <x:row r="169" ht="18" customHeight="1">
      <x:c r="C169" s="231" t="str">
        <x:v>Volume effect</x:v>
      </x:c>
      <x:c r="D169" s="242" t="n">
        <x:f>(D162-D161)*((1-D163)*D165+D163*D167)</x:f>
        <x:v>-6796.2</x:v>
      </x:c>
      <x:c r="E169" s="242" t="n">
        <x:f>(E162-E161)*((1-E163)*E165+E163*E167)</x:f>
        <x:v>-2922.2</x:v>
      </x:c>
      <x:c r="F169" s="242" t="n">
        <x:f>(F162-F161)*((1-F163)*F165+F163*F167)</x:f>
        <x:v>-14069.039999999997</x:v>
      </x:c>
      <x:c r="G169" s="242" t="n">
        <x:f>(G162-G161)*((1-G163)*G165+G163*G167)</x:f>
        <x:v>-23375.999999999996</x:v>
      </x:c>
      <x:c r="H169" s="242" t="n">
        <x:f>(H162-H161)*((1-H163)*H165+H163*H167)</x:f>
        <x:v>-25195.25</x:v>
      </x:c>
      <x:c r="I169" s="242" t="n">
        <x:f>(I162-I161)*((1-I163)*I165+I163*I167)</x:f>
        <x:v>-12636.000000000002</x:v>
      </x:c>
      <x:c r="J169" s="242" t="n">
        <x:f>SUM(D169:I169)</x:f>
        <x:v>-84994.68999999999</x:v>
      </x:c>
      <x:c r="K169" s="171"/>
      <x:c r="L169" s="171"/>
      <x:c r="M169" s="171"/>
      <x:c r="N169" s="171"/>
    </x:row>
    <x:row r="170" ht="18" customHeight="1">
      <x:c r="C170" s="231" t="str">
        <x:v>Mix effect</x:v>
      </x:c>
      <x:c r="D170" s="242" t="n">
        <x:f>D162*(((1-D164)*D165+D164*D167)-((1-D163)*D165+D163*D167))</x:f>
        <x:v>-298.7999999999948</x:v>
      </x:c>
      <x:c r="E170" s="242" t="n">
        <x:f>E162*(((1-E164)*E165+E164*E167)-((1-E163)*E165+E163*E167))</x:f>
        <x:v>-603.4399999999787</x:v>
      </x:c>
      <x:c r="F170" s="242" t="n">
        <x:f>F162*(((1-F164)*F165+F164*F167)-((1-F163)*F165+F163*F167))</x:f>
        <x:v>-2414.159999999931</x:v>
      </x:c>
      <x:c r="G170" s="242" t="n">
        <x:f>G162*(((1-G164)*G165+G164*G167)-((1-G163)*G165+G163*G167))</x:f>
        <x:v>-4223.999999999974</x:v>
      </x:c>
      <x:c r="H170" s="242" t="n">
        <x:f>H162*(((1-H164)*H165+H164*H167)-((1-H163)*H165+H163*H167))</x:f>
        <x:v>-5787.449999999986</x:v>
      </x:c>
      <x:c r="I170" s="242" t="n">
        <x:f>I162*(((1-I164)*I165+I164*I167)-((1-I163)*I165+I163*I167))</x:f>
        <x:v>-4339.200000000026</x:v>
      </x:c>
      <x:c r="J170" s="242" t="n">
        <x:f>SUM(D170:I170)</x:f>
        <x:v>-17667.04999999989</x:v>
      </x:c>
      <x:c r="K170" s="171"/>
      <x:c r="L170" s="171"/>
      <x:c r="M170" s="171"/>
      <x:c r="N170" s="171"/>
    </x:row>
    <x:row r="171" ht="18" customHeight="1">
      <x:c r="C171" s="231" t="str">
        <x:v>Rate effect</x:v>
      </x:c>
      <x:c r="D171" s="242" t="n">
        <x:f>D162*((1-D164)*(D166-D165)+D164*(D168-D167))</x:f>
        <x:v>1401</x:v>
      </x:c>
      <x:c r="E171" s="242" t="n">
        <x:f>E162*((1-E164)*(E166-E165)+E164*(E168-E167))</x:f>
        <x:v>1075</x:v>
      </x:c>
      <x:c r="F171" s="242" t="n">
        <x:f>F162*((1-F164)*(F166-F165)+F164*(F168-F167))</x:f>
        <x:v>961</x:v>
      </x:c>
      <x:c r="G171" s="242" t="n">
        <x:f>G162*((1-G164)*(G166-G165)+G164*(G168-G167))</x:f>
        <x:v>419.5</x:v>
      </x:c>
      <x:c r="H171" s="242" t="n">
        <x:f>H162*((1-H164)*(H166-H165)+H164*(H168-H167))</x:f>
        <x:v>-1176</x:v>
      </x:c>
      <x:c r="I171" s="242" t="n">
        <x:f>I162*((1-I164)*(I166-I165)+I164*(I168-I167))</x:f>
        <x:v>1789.5</x:v>
      </x:c>
      <x:c r="J171" s="242" t="n">
        <x:f>SUM(D171:I171)</x:f>
        <x:v>4470</x:v>
      </x:c>
      <x:c r="K171" s="171"/>
      <x:c r="L171" s="171"/>
      <x:c r="M171" s="171"/>
      <x:c r="N171" s="171"/>
    </x:row>
    <x:row r="172" ht="18" customHeight="1">
      <x:c r="C172" s="243" t="str">
        <x:v>Sum of effects</x:v>
      </x:c>
      <x:c r="D172" s="245" t="n">
        <x:f>SUM(D169:D171)</x:f>
        <x:v>-5693.9999999999945</x:v>
      </x:c>
      <x:c r="E172" s="245" t="n">
        <x:f>SUM(E169:E171)</x:f>
        <x:v>-2450.6399999999785</x:v>
      </x:c>
      <x:c r="F172" s="245" t="n">
        <x:f>SUM(F169:F171)</x:f>
        <x:v>-15522.199999999928</x:v>
      </x:c>
      <x:c r="G172" s="245" t="n">
        <x:f>SUM(G169:G171)</x:f>
        <x:v>-27180.49999999997</x:v>
      </x:c>
      <x:c r="H172" s="245" t="n">
        <x:f>SUM(H169:H171)</x:f>
        <x:v>-32158.699999999986</x:v>
      </x:c>
      <x:c r="I172" s="245" t="n">
        <x:f>SUM(I169:I171)</x:f>
        <x:v>-15185.700000000026</x:v>
      </x:c>
      <x:c r="J172" s="245" t="n">
        <x:f>SUM(D172:I172)</x:f>
        <x:v>-98191.73999999989</x:v>
      </x:c>
      <x:c r="K172" s="171"/>
      <x:c r="L172" s="171"/>
      <x:c r="M172" s="171"/>
      <x:c r="N172" s="171"/>
    </x:row>
    <x:row r="173" ht="18" customHeight="1">
      <x:c r="C173" s="243" t="str">
        <x:v>Reported revenue variance</x:v>
      </x:c>
      <x:c r="D173" s="245" t="n">
        <x:f>D106-D73</x:f>
        <x:v>-5694</x:v>
      </x:c>
      <x:c r="E173" s="245" t="n">
        <x:f>E106-E73</x:f>
        <x:v>-2450.640000000014</x:v>
      </x:c>
      <x:c r="F173" s="245" t="n">
        <x:f>F106-F73</x:f>
        <x:v>-15522.199999999953</x:v>
      </x:c>
      <x:c r="G173" s="245" t="n">
        <x:f>G106-G73</x:f>
        <x:v>-27180.5</x:v>
      </x:c>
      <x:c r="H173" s="245" t="n">
        <x:f>H106-H73</x:f>
        <x:v>-32158.699999999953</x:v>
      </x:c>
      <x:c r="I173" s="245" t="n">
        <x:f>I106-I73</x:f>
        <x:v>-15185.700000000012</x:v>
      </x:c>
      <x:c r="J173" s="245" t="n">
        <x:f>J106-J73</x:f>
        <x:v>-98191.73999999976</x:v>
      </x:c>
      <x:c r="K173" s="171"/>
      <x:c r="L173" s="171"/>
      <x:c r="M173" s="171"/>
      <x:c r="N173" s="171"/>
    </x:row>
    <x:row r="174" ht="18" customHeight="1">
      <x:c r="C174" s="270" t="str">
        <x:v>Bridge residual</x:v>
      </x:c>
      <x:c r="D174" s="271" t="n">
        <x:f>D172-D173</x:f>
        <x:v>5.4569682106375694e-12</x:v>
      </x:c>
      <x:c r="E174" s="271" t="n">
        <x:f>E172-E173</x:f>
        <x:v>3.54702933691442e-11</x:v>
      </x:c>
      <x:c r="F174" s="271" t="n">
        <x:f>F172-F173</x:f>
        <x:v>2.546585164964199e-11</x:v>
      </x:c>
      <x:c r="G174" s="271" t="n">
        <x:f>G172-G173</x:f>
        <x:v>2.9103830456733704e-11</x:v>
      </x:c>
      <x:c r="H174" s="271" t="n">
        <x:f>H172-H173</x:f>
        <x:v>-3.2741809263825417e-11</x:v>
      </x:c>
      <x:c r="I174" s="271" t="n">
        <x:f>I172-I173</x:f>
        <x:v>-1.4551915228366852e-11</x:v>
      </x:c>
      <x:c r="J174" s="271" t="n">
        <x:f>J172-J173</x:f>
        <x:v>-1.3096723705530167e-10</x:v>
      </x:c>
      <x:c r="K174" s="171"/>
      <x:c r="L174" s="171"/>
      <x:c r="M174" s="171"/>
      <x:c r="N174" s="171"/>
    </x:row>
    <x:row r="175" ht="18" customHeight="1">
      <x:c r="C175" s="171"/>
      <x:c r="D175" s="171"/>
      <x:c r="E175" s="171"/>
      <x:c r="F175" s="171"/>
      <x:c r="G175" s="171"/>
      <x:c r="H175" s="171"/>
      <x:c r="I175" s="171"/>
      <x:c r="J175" s="171"/>
      <x:c r="K175" s="171"/>
      <x:c r="L175" s="171"/>
      <x:c r="M175" s="171"/>
      <x:c r="N175" s="171"/>
    </x:row>
    <x:row r="176" ht="24" customHeight="1">
      <x:c r="C176" s="431" t="str">
        <x:v>Housekeeping cost bridge</x:v>
      </x:c>
      <x:c r="D176" s="432"/>
      <x:c r="E176" s="432"/>
      <x:c r="F176" s="432"/>
      <x:c r="G176" s="432"/>
      <x:c r="H176" s="432"/>
      <x:c r="I176" s="432"/>
      <x:c r="J176" s="433"/>
      <x:c r="K176" s="171"/>
      <x:c r="L176" s="171"/>
      <x:c r="M176" s="171"/>
      <x:c r="N176" s="171"/>
    </x:row>
    <x:row r="177" ht="18" customHeight="1">
      <x:c r="C177" s="174" t="str">
        <x:v>Actual cost minus Budget cost. Positive is a cost increase and unfavorable. Sequential order: volume, efficiency, then wage rate. Recorded hours and payroll remain independent facts.</x:v>
      </x:c>
      <x:c r="D177" s="174"/>
      <x:c r="E177" s="174"/>
      <x:c r="F177" s="174"/>
      <x:c r="G177" s="174"/>
      <x:c r="H177" s="174"/>
      <x:c r="I177" s="174"/>
      <x:c r="J177" s="174"/>
      <x:c r="K177" s="171"/>
      <x:c r="L177" s="171"/>
      <x:c r="M177" s="171"/>
      <x:c r="N177" s="171"/>
    </x:row>
    <x:row r="178" ht="32" customHeight="1">
      <x:c r="C178" s="438" t="str">
        <x:v>Metric</x:v>
      </x:c>
      <x:c r="D178" s="441" t="n">
        <x:v>46023</x:v>
      </x:c>
      <x:c r="E178" s="441" t="n">
        <x:v>46054</x:v>
      </x:c>
      <x:c r="F178" s="441" t="n">
        <x:v>46082</x:v>
      </x:c>
      <x:c r="G178" s="441" t="n">
        <x:v>46113</x:v>
      </x:c>
      <x:c r="H178" s="441" t="n">
        <x:v>46143</x:v>
      </x:c>
      <x:c r="I178" s="441" t="n">
        <x:v>46174</x:v>
      </x:c>
      <x:c r="J178" s="440" t="str">
        <x:v>YTD</x:v>
      </x:c>
      <x:c r="K178" s="171"/>
      <x:c r="L178" s="171"/>
      <x:c r="M178" s="171"/>
      <x:c r="N178" s="171"/>
    </x:row>
    <x:row r="179" ht="18" customHeight="1">
      <x:c r="C179" s="228" t="str">
        <x:v>Budget occupied room nights</x:v>
      </x:c>
      <x:c r="D179" s="266" t="n">
        <x:f>D62</x:f>
        <x:v>1705</x:v>
      </x:c>
      <x:c r="E179" s="266" t="n">
        <x:f>E62</x:f>
        <x:v>1624</x:v>
      </x:c>
      <x:c r="F179" s="266" t="n">
        <x:f>F62</x:f>
        <x:v>2015</x:v>
      </x:c>
      <x:c r="G179" s="266" t="n">
        <x:f>G62</x:f>
        <x:v>2100</x:v>
      </x:c>
      <x:c r="H179" s="266" t="n">
        <x:f>H62</x:f>
        <x:v>2294</x:v>
      </x:c>
      <x:c r="I179" s="266" t="n">
        <x:f>I62</x:f>
        <x:v>2340</x:v>
      </x:c>
      <x:c r="J179" s="266" t="n">
        <x:f>J62</x:f>
        <x:v>12078</x:v>
      </x:c>
      <x:c r="K179" s="171"/>
      <x:c r="L179" s="171"/>
      <x:c r="M179" s="171"/>
      <x:c r="N179" s="171"/>
    </x:row>
    <x:row r="180" ht="18" customHeight="1">
      <x:c r="C180" s="231" t="str">
        <x:v>Actual occupied room nights</x:v>
      </x:c>
      <x:c r="D180" s="238" t="n">
        <x:f>D95</x:f>
        <x:v>1658</x:v>
      </x:c>
      <x:c r="E180" s="238" t="n">
        <x:f>E95</x:f>
        <x:v>1604</x:v>
      </x:c>
      <x:c r="F180" s="238" t="n">
        <x:f>F95</x:f>
        <x:v>1922</x:v>
      </x:c>
      <x:c r="G180" s="238" t="n">
        <x:f>G95</x:f>
        <x:v>1950</x:v>
      </x:c>
      <x:c r="H180" s="238" t="n">
        <x:f>H95</x:f>
        <x:v>2139</x:v>
      </x:c>
      <x:c r="I180" s="238" t="n">
        <x:f>I95</x:f>
        <x:v>2265</x:v>
      </x:c>
      <x:c r="J180" s="238" t="n">
        <x:f>J95</x:f>
        <x:v>11538</x:v>
      </x:c>
      <x:c r="K180" s="171"/>
      <x:c r="L180" s="171"/>
      <x:c r="M180" s="171"/>
      <x:c r="N180" s="171"/>
    </x:row>
    <x:row r="181" ht="18" customHeight="1">
      <x:c r="C181" s="231" t="str">
        <x:v>Budget hours per occupied room</x:v>
      </x:c>
      <x:c r="D181" s="272" t="n">
        <x:f>D75</x:f>
        <x:v>0.56</x:v>
      </x:c>
      <x:c r="E181" s="272" t="n">
        <x:f>E75</x:f>
        <x:v>0.55</x:v>
      </x:c>
      <x:c r="F181" s="272" t="n">
        <x:f>F75</x:f>
        <x:v>0.54</x:v>
      </x:c>
      <x:c r="G181" s="272" t="n">
        <x:f>G75</x:f>
        <x:v>0.53</x:v>
      </x:c>
      <x:c r="H181" s="272" t="n">
        <x:f>H75</x:f>
        <x:v>0.52</x:v>
      </x:c>
      <x:c r="I181" s="272" t="n">
        <x:f>I75</x:f>
        <x:v>0.51</x:v>
      </x:c>
      <x:c r="J181" s="272" t="n">
        <x:f>J75</x:f>
        <x:v>0.5328183474085114</x:v>
      </x:c>
      <x:c r="K181" s="171"/>
      <x:c r="L181" s="171"/>
      <x:c r="M181" s="171"/>
      <x:c r="N181" s="171"/>
    </x:row>
    <x:row r="182" ht="18" customHeight="1">
      <x:c r="C182" s="231" t="str">
        <x:v>Actual hours per occupied room</x:v>
      </x:c>
      <x:c r="D182" s="272" t="n">
        <x:f>D108</x:f>
        <x:v>0.57</x:v>
      </x:c>
      <x:c r="E182" s="272" t="n">
        <x:f>E108</x:f>
        <x:v>0.55</x:v>
      </x:c>
      <x:c r="F182" s="272" t="n">
        <x:f>F108</x:f>
        <x:v>0.5599999999999999</x:v>
      </x:c>
      <x:c r="G182" s="272" t="n">
        <x:f>G108</x:f>
        <x:v>0.62</x:v>
      </x:c>
      <x:c r="H182" s="272" t="n">
        <x:f>H108</x:f>
        <x:v>0.6000000000000001</x:v>
      </x:c>
      <x:c r="I182" s="272" t="n">
        <x:f>I108</x:f>
        <x:v>0.56</x:v>
      </x:c>
      <x:c r="J182" s="272" t="n">
        <x:f>J108</x:f>
        <x:v>0.5776027041081643</x:v>
      </x:c>
      <x:c r="K182" s="171"/>
      <x:c r="L182" s="171"/>
      <x:c r="M182" s="171"/>
      <x:c r="N182" s="171"/>
    </x:row>
    <x:row r="183" ht="18" customHeight="1">
      <x:c r="C183" s="231" t="str">
        <x:v>Budget housekeeping hours</x:v>
      </x:c>
      <x:c r="D183" s="238" t="n">
        <x:f>D74</x:f>
        <x:v>954.8000000000001</x:v>
      </x:c>
      <x:c r="E183" s="238" t="n">
        <x:f>E74</x:f>
        <x:v>893.2</x:v>
      </x:c>
      <x:c r="F183" s="238" t="n">
        <x:f>F74</x:f>
        <x:v>1088.1000000000001</x:v>
      </x:c>
      <x:c r="G183" s="238" t="n">
        <x:f>G74</x:f>
        <x:v>1113</x:v>
      </x:c>
      <x:c r="H183" s="238" t="n">
        <x:f>H74</x:f>
        <x:v>1192.88</x:v>
      </x:c>
      <x:c r="I183" s="238" t="n">
        <x:f>I74</x:f>
        <x:v>1193.4</x:v>
      </x:c>
      <x:c r="J183" s="238" t="n">
        <x:f>J74</x:f>
        <x:v>6435.380000000001</x:v>
      </x:c>
      <x:c r="K183" s="171"/>
      <x:c r="L183" s="171"/>
      <x:c r="M183" s="171"/>
      <x:c r="N183" s="171"/>
    </x:row>
    <x:row r="184" ht="18" customHeight="1">
      <x:c r="C184" s="231" t="str">
        <x:v>Actual housekeeping hours</x:v>
      </x:c>
      <x:c r="D184" s="238" t="n">
        <x:f>D107</x:f>
        <x:v>945.06</x:v>
      </x:c>
      <x:c r="E184" s="238" t="n">
        <x:f>E107</x:f>
        <x:v>882.2</x:v>
      </x:c>
      <x:c r="F184" s="238" t="n">
        <x:f>F107</x:f>
        <x:v>1076.32</x:v>
      </x:c>
      <x:c r="G184" s="238" t="n">
        <x:f>G107</x:f>
        <x:v>1209</x:v>
      </x:c>
      <x:c r="H184" s="238" t="n">
        <x:f>H107</x:f>
        <x:v>1283.4</x:v>
      </x:c>
      <x:c r="I184" s="238" t="n">
        <x:f>I107</x:f>
        <x:v>1268.4</x:v>
      </x:c>
      <x:c r="J184" s="238" t="n">
        <x:f>J107</x:f>
        <x:v>6664.379999999999</x:v>
      </x:c>
      <x:c r="K184" s="171"/>
      <x:c r="L184" s="171"/>
      <x:c r="M184" s="171"/>
      <x:c r="N184" s="171"/>
    </x:row>
    <x:row r="185" ht="18" customHeight="1">
      <x:c r="C185" s="231" t="str">
        <x:v>Budget loaded wage</x:v>
      </x:c>
      <x:c r="D185" s="240" t="n">
        <x:f>D76</x:f>
        <x:v>22</x:v>
      </x:c>
      <x:c r="E185" s="240" t="n">
        <x:f>E76</x:f>
        <x:v>22</x:v>
      </x:c>
      <x:c r="F185" s="240" t="n">
        <x:f>F76</x:f>
        <x:v>22</x:v>
      </x:c>
      <x:c r="G185" s="240" t="n">
        <x:f>G76</x:f>
        <x:v>22</x:v>
      </x:c>
      <x:c r="H185" s="240" t="n">
        <x:f>H76</x:f>
        <x:v>22</x:v>
      </x:c>
      <x:c r="I185" s="240" t="n">
        <x:f>I76</x:f>
        <x:v>22</x:v>
      </x:c>
      <x:c r="J185" s="240" t="n">
        <x:f>J76</x:f>
        <x:v>22</x:v>
      </x:c>
      <x:c r="K185" s="171"/>
      <x:c r="L185" s="171"/>
      <x:c r="M185" s="171"/>
      <x:c r="N185" s="171"/>
    </x:row>
    <x:row r="186" ht="18" customHeight="1">
      <x:c r="C186" s="231" t="str">
        <x:v>Actual effective wage</x:v>
      </x:c>
      <x:c r="D186" s="240" t="n">
        <x:f>D109</x:f>
        <x:v>21.899995767464503</x:v>
      </x:c>
      <x:c r="E186" s="240" t="n">
        <x:f>E109</x:f>
        <x:v>22</x:v>
      </x:c>
      <x:c r="F186" s="240" t="n">
        <x:f>F109</x:f>
        <x:v>22.09999814181656</x:v>
      </x:c>
      <x:c r="G186" s="240" t="n">
        <x:f>G109</x:f>
        <x:v>23.25</x:v>
      </x:c>
      <x:c r="H186" s="240" t="n">
        <x:f>H109</x:f>
        <x:v>23.249999999999996</x:v>
      </x:c>
      <x:c r="I186" s="240" t="n">
        <x:f>I109</x:f>
        <x:v>23.249999999999996</x:v>
      </x:c>
      <x:c r="J186" s="240" t="n">
        <x:f>J109</x:f>
        <x:v>22.707360624694275</x:v>
      </x:c>
      <x:c r="K186" s="171"/>
      <x:c r="L186" s="171"/>
      <x:c r="M186" s="171"/>
      <x:c r="N186" s="171"/>
    </x:row>
    <x:row r="187" ht="18" customHeight="1">
      <x:c r="C187" s="231" t="str">
        <x:v>Budget housekeeping payroll</x:v>
      </x:c>
      <x:c r="D187" s="242" t="n">
        <x:f>D77</x:f>
        <x:v>21005.600000000002</x:v>
      </x:c>
      <x:c r="E187" s="242" t="n">
        <x:f>E77</x:f>
        <x:v>19650.4</x:v>
      </x:c>
      <x:c r="F187" s="242" t="n">
        <x:f>F77</x:f>
        <x:v>23938.200000000004</x:v>
      </x:c>
      <x:c r="G187" s="242" t="n">
        <x:f>G77</x:f>
        <x:v>24486</x:v>
      </x:c>
      <x:c r="H187" s="242" t="n">
        <x:f>H77</x:f>
        <x:v>26243.36</x:v>
      </x:c>
      <x:c r="I187" s="242" t="n">
        <x:f>I77</x:f>
        <x:v>26254.800000000003</x:v>
      </x:c>
      <x:c r="J187" s="242" t="n">
        <x:f>J77</x:f>
        <x:v>141578.36000000002</x:v>
      </x:c>
      <x:c r="K187" s="171"/>
      <x:c r="L187" s="171"/>
      <x:c r="M187" s="171"/>
      <x:c r="N187" s="171"/>
    </x:row>
    <x:row r="188" ht="18" customHeight="1">
      <x:c r="C188" s="231" t="str">
        <x:v>Actual housekeeping payroll</x:v>
      </x:c>
      <x:c r="D188" s="242" t="n">
        <x:f>D110</x:f>
        <x:v>20696.81</x:v>
      </x:c>
      <x:c r="E188" s="242" t="n">
        <x:f>E110</x:f>
        <x:v>19408.4</x:v>
      </x:c>
      <x:c r="F188" s="242" t="n">
        <x:f>F110</x:f>
        <x:v>23786.67</x:v>
      </x:c>
      <x:c r="G188" s="242" t="n">
        <x:f>G110</x:f>
        <x:v>28109.25</x:v>
      </x:c>
      <x:c r="H188" s="242" t="n">
        <x:f>H110</x:f>
        <x:v>29839.05</x:v>
      </x:c>
      <x:c r="I188" s="242" t="n">
        <x:f>I110</x:f>
        <x:v>29490.3</x:v>
      </x:c>
      <x:c r="J188" s="242" t="n">
        <x:f>J110</x:f>
        <x:v>151330.48</x:v>
      </x:c>
      <x:c r="K188" s="171"/>
      <x:c r="L188" s="171"/>
      <x:c r="M188" s="171"/>
      <x:c r="N188" s="171"/>
    </x:row>
    <x:row r="189" ht="18" customHeight="1">
      <x:c r="C189" s="231" t="str">
        <x:v>Volume effect</x:v>
      </x:c>
      <x:c r="D189" s="242" t="n">
        <x:f>(D180-D179)*D181*D185</x:f>
        <x:v>-579.0400000000001</x:v>
      </x:c>
      <x:c r="E189" s="242" t="n">
        <x:f>(E180-E179)*E181*E185</x:f>
        <x:v>-242</x:v>
      </x:c>
      <x:c r="F189" s="242" t="n">
        <x:f>(F180-F179)*F181*F185</x:f>
        <x:v>-1104.8400000000001</x:v>
      </x:c>
      <x:c r="G189" s="242" t="n">
        <x:f>(G180-G179)*G181*G185</x:f>
        <x:v>-1749</x:v>
      </x:c>
      <x:c r="H189" s="242" t="n">
        <x:f>(H180-H179)*H181*H185</x:f>
        <x:v>-1773.2000000000003</x:v>
      </x:c>
      <x:c r="I189" s="242" t="n">
        <x:f>(I180-I179)*I181*I185</x:f>
        <x:v>-841.5</x:v>
      </x:c>
      <x:c r="J189" s="242" t="n">
        <x:f>SUM(D189:I189)</x:f>
        <x:v>-6289.58</x:v>
      </x:c>
      <x:c r="K189" s="171"/>
      <x:c r="L189" s="171"/>
      <x:c r="M189" s="171"/>
      <x:c r="N189" s="171"/>
    </x:row>
    <x:row r="190" ht="18" customHeight="1">
      <x:c r="C190" s="231" t="str">
        <x:v>Efficiency effect</x:v>
      </x:c>
      <x:c r="D190" s="242" t="n">
        <x:f>D180*(D182-D181)*D185</x:f>
        <x:v>364.7599999999963</x:v>
      </x:c>
      <x:c r="E190" s="242" t="n">
        <x:f>E180*(E182-E181)*E185</x:f>
        <x:v>0</x:v>
      </x:c>
      <x:c r="F190" s="242" t="n">
        <x:f>F180*(F182-F181)*F185</x:f>
        <x:v>845.6799999999961</x:v>
      </x:c>
      <x:c r="G190" s="242" t="n">
        <x:f>G180*(G182-G181)*G185</x:f>
        <x:v>3860.9999999999986</x:v>
      </x:c>
      <x:c r="H190" s="242" t="n">
        <x:f>H180*(H182-H181)*H185</x:f>
        <x:v>3764.640000000003</x:v>
      </x:c>
      <x:c r="I190" s="242" t="n">
        <x:f>I180*(I182-I181)*I185</x:f>
        <x:v>2491.5000000000023</x:v>
      </x:c>
      <x:c r="J190" s="242" t="n">
        <x:f>SUM(D190:I190)</x:f>
        <x:v>11327.579999999996</x:v>
      </x:c>
      <x:c r="K190" s="171"/>
      <x:c r="L190" s="171"/>
      <x:c r="M190" s="171"/>
      <x:c r="N190" s="171"/>
    </x:row>
    <x:row r="191" ht="18" customHeight="1">
      <x:c r="C191" s="231" t="str">
        <x:v>Wage-rate effect</x:v>
      </x:c>
      <x:c r="D191" s="242" t="n">
        <x:f>D184*(D186-D185)</x:f>
        <x:v>-94.50999999999664</x:v>
      </x:c>
      <x:c r="E191" s="242" t="n">
        <x:f>E184*(E186-E185)</x:f>
        <x:v>0</x:v>
      </x:c>
      <x:c r="F191" s="242" t="n">
        <x:f>F184*(F186-F185)</x:f>
        <x:v>107.62999999999947</x:v>
      </x:c>
      <x:c r="G191" s="242" t="n">
        <x:f>G184*(G186-G185)</x:f>
        <x:v>1511.25</x:v>
      </x:c>
      <x:c r="H191" s="242" t="n">
        <x:f>H184*(H186-H185)</x:f>
        <x:v>1604.2499999999955</x:v>
      </x:c>
      <x:c r="I191" s="242" t="n">
        <x:f>I184*(I186-I185)</x:f>
        <x:v>1585.4999999999957</x:v>
      </x:c>
      <x:c r="J191" s="242" t="n">
        <x:f>SUM(D191:I191)</x:f>
        <x:v>4714.1199999999935</x:v>
      </x:c>
      <x:c r="K191" s="171"/>
      <x:c r="L191" s="171"/>
      <x:c r="M191" s="171"/>
      <x:c r="N191" s="171"/>
    </x:row>
    <x:row r="192" ht="18" customHeight="1">
      <x:c r="C192" s="243" t="str">
        <x:v>Sum of effects</x:v>
      </x:c>
      <x:c r="D192" s="245" t="n">
        <x:f>SUM(D189:D191)</x:f>
        <x:v>-308.7900000000004</x:v>
      </x:c>
      <x:c r="E192" s="245" t="n">
        <x:f>SUM(E189:E191)</x:f>
        <x:v>-242</x:v>
      </x:c>
      <x:c r="F192" s="245" t="n">
        <x:f>SUM(F189:F191)</x:f>
        <x:v>-151.53000000000458</x:v>
      </x:c>
      <x:c r="G192" s="245" t="n">
        <x:f>SUM(G189:G191)</x:f>
        <x:v>3623.2499999999986</x:v>
      </x:c>
      <x:c r="H192" s="245" t="n">
        <x:f>SUM(H189:H191)</x:f>
        <x:v>3595.6899999999982</x:v>
      </x:c>
      <x:c r="I192" s="245" t="n">
        <x:f>SUM(I189:I191)</x:f>
        <x:v>3235.499999999998</x:v>
      </x:c>
      <x:c r="J192" s="245" t="n">
        <x:f>SUM(D192:I192)</x:f>
        <x:v>9752.11999999999</x:v>
      </x:c>
      <x:c r="K192" s="171"/>
      <x:c r="L192" s="171"/>
      <x:c r="M192" s="171"/>
      <x:c r="N192" s="171"/>
    </x:row>
    <x:row r="193" ht="18" customHeight="1">
      <x:c r="C193" s="243" t="str">
        <x:v>Reported housekeeping cost variance</x:v>
      </x:c>
      <x:c r="D193" s="245" t="n">
        <x:f>D188-D187</x:f>
        <x:v>-308.7900000000009</x:v>
      </x:c>
      <x:c r="E193" s="245" t="n">
        <x:f>E188-E187</x:f>
        <x:v>-242</x:v>
      </x:c>
      <x:c r="F193" s="245" t="n">
        <x:f>F188-F187</x:f>
        <x:v>-151.5300000000061</x:v>
      </x:c>
      <x:c r="G193" s="245" t="n">
        <x:f>G188-G187</x:f>
        <x:v>3623.25</x:v>
      </x:c>
      <x:c r="H193" s="245" t="n">
        <x:f>H188-H187</x:f>
        <x:v>3595.6899999999987</x:v>
      </x:c>
      <x:c r="I193" s="245" t="n">
        <x:f>I188-I187</x:f>
        <x:v>3235.4999999999964</x:v>
      </x:c>
      <x:c r="J193" s="245" t="n">
        <x:f>J188-J187</x:f>
        <x:v>9752.119999999995</x:v>
      </x:c>
      <x:c r="K193" s="171"/>
      <x:c r="L193" s="171"/>
      <x:c r="M193" s="171"/>
      <x:c r="N193" s="171"/>
    </x:row>
    <x:row r="194" ht="18" customHeight="1">
      <x:c r="C194" s="270" t="str">
        <x:v>Bridge residual</x:v>
      </x:c>
      <x:c r="D194" s="271" t="n">
        <x:f>D192-D193</x:f>
        <x:v>4.547473508864641e-13</x:v>
      </x:c>
      <x:c r="E194" s="271" t="n">
        <x:f>E192-E193</x:f>
        <x:v>0</x:v>
      </x:c>
      <x:c r="F194" s="271" t="n">
        <x:f>F192-F193</x:f>
        <x:v>1.5347723092418164e-12</x:v>
      </x:c>
      <x:c r="G194" s="271" t="n">
        <x:f>G192-G193</x:f>
        <x:v>-1.3642420526593924e-12</x:v>
      </x:c>
      <x:c r="H194" s="271" t="n">
        <x:f>H192-H193</x:f>
        <x:v>-4.547473508864641e-13</x:v>
      </x:c>
      <x:c r="I194" s="271" t="n">
        <x:f>I192-I193</x:f>
        <x:v>1.8189894035458565e-12</x:v>
      </x:c>
      <x:c r="J194" s="271" t="n">
        <x:f>J192-J193</x:f>
        <x:v>-5.4569682106375694e-12</x:v>
      </x:c>
      <x:c r="K194" s="171"/>
      <x:c r="L194" s="171"/>
      <x:c r="M194" s="171"/>
      <x:c r="N194" s="171"/>
    </x:row>
    <x:row r="195" ht="18" customHeight="1">
      <x:c r="C195" s="171"/>
      <x:c r="D195" s="171"/>
      <x:c r="E195" s="171"/>
      <x:c r="F195" s="171"/>
      <x:c r="G195" s="171"/>
      <x:c r="H195" s="171"/>
      <x:c r="I195" s="171"/>
      <x:c r="J195" s="171"/>
      <x:c r="K195" s="171"/>
      <x:c r="L195" s="171"/>
      <x:c r="M195" s="171"/>
      <x:c r="N195" s="171"/>
    </x:row>
    <x:row r="196" ht="24" customHeight="1">
      <x:c r="C196" s="431" t="str">
        <x:v>Guest-service cost bridge</x:v>
      </x:c>
      <x:c r="D196" s="432"/>
      <x:c r="E196" s="432"/>
      <x:c r="F196" s="432"/>
      <x:c r="G196" s="432"/>
      <x:c r="H196" s="432"/>
      <x:c r="I196" s="432"/>
      <x:c r="J196" s="433"/>
      <x:c r="K196" s="171"/>
      <x:c r="L196" s="171"/>
      <x:c r="M196" s="171"/>
      <x:c r="N196" s="171"/>
    </x:row>
    <x:row r="197" ht="18" customHeight="1">
      <x:c r="C197" s="174" t="str">
        <x:v>Actual cost minus Budget cost. Positive is a cost increase and unfavorable. Lower volume is separated from unit-cost performance.</x:v>
      </x:c>
      <x:c r="D197" s="174"/>
      <x:c r="E197" s="174"/>
      <x:c r="F197" s="174"/>
      <x:c r="G197" s="174"/>
      <x:c r="H197" s="174"/>
      <x:c r="I197" s="174"/>
      <x:c r="J197" s="174"/>
      <x:c r="K197" s="171"/>
      <x:c r="L197" s="171"/>
      <x:c r="M197" s="171"/>
      <x:c r="N197" s="171"/>
    </x:row>
    <x:row r="198" ht="32" customHeight="1">
      <x:c r="C198" s="438" t="str">
        <x:v>Metric</x:v>
      </x:c>
      <x:c r="D198" s="441" t="n">
        <x:v>46023</x:v>
      </x:c>
      <x:c r="E198" s="441" t="n">
        <x:v>46054</x:v>
      </x:c>
      <x:c r="F198" s="441" t="n">
        <x:v>46082</x:v>
      </x:c>
      <x:c r="G198" s="441" t="n">
        <x:v>46113</x:v>
      </x:c>
      <x:c r="H198" s="441" t="n">
        <x:v>46143</x:v>
      </x:c>
      <x:c r="I198" s="441" t="n">
        <x:v>46174</x:v>
      </x:c>
      <x:c r="J198" s="440" t="str">
        <x:v>YTD</x:v>
      </x:c>
      <x:c r="K198" s="171"/>
      <x:c r="L198" s="171"/>
      <x:c r="M198" s="171"/>
      <x:c r="N198" s="171"/>
    </x:row>
    <x:row r="199" ht="18" customHeight="1">
      <x:c r="C199" s="228" t="str">
        <x:v>Budget occupied room nights</x:v>
      </x:c>
      <x:c r="D199" s="266" t="n">
        <x:f>D62</x:f>
        <x:v>1705</x:v>
      </x:c>
      <x:c r="E199" s="266" t="n">
        <x:f>E62</x:f>
        <x:v>1624</x:v>
      </x:c>
      <x:c r="F199" s="266" t="n">
        <x:f>F62</x:f>
        <x:v>2015</x:v>
      </x:c>
      <x:c r="G199" s="266" t="n">
        <x:f>G62</x:f>
        <x:v>2100</x:v>
      </x:c>
      <x:c r="H199" s="266" t="n">
        <x:f>H62</x:f>
        <x:v>2294</x:v>
      </x:c>
      <x:c r="I199" s="266" t="n">
        <x:f>I62</x:f>
        <x:v>2340</x:v>
      </x:c>
      <x:c r="J199" s="266" t="n">
        <x:f>J62</x:f>
        <x:v>12078</x:v>
      </x:c>
      <x:c r="K199" s="171"/>
      <x:c r="L199" s="171"/>
      <x:c r="M199" s="171"/>
      <x:c r="N199" s="171"/>
    </x:row>
    <x:row r="200" ht="18" customHeight="1">
      <x:c r="C200" s="231" t="str">
        <x:v>Actual occupied room nights</x:v>
      </x:c>
      <x:c r="D200" s="238" t="n">
        <x:f>D95</x:f>
        <x:v>1658</x:v>
      </x:c>
      <x:c r="E200" s="238" t="n">
        <x:f>E95</x:f>
        <x:v>1604</x:v>
      </x:c>
      <x:c r="F200" s="238" t="n">
        <x:f>F95</x:f>
        <x:v>1922</x:v>
      </x:c>
      <x:c r="G200" s="238" t="n">
        <x:f>G95</x:f>
        <x:v>1950</x:v>
      </x:c>
      <x:c r="H200" s="238" t="n">
        <x:f>H95</x:f>
        <x:v>2139</x:v>
      </x:c>
      <x:c r="I200" s="238" t="n">
        <x:f>I95</x:f>
        <x:v>2265</x:v>
      </x:c>
      <x:c r="J200" s="238" t="n">
        <x:f>J95</x:f>
        <x:v>11538</x:v>
      </x:c>
      <x:c r="K200" s="171"/>
      <x:c r="L200" s="171"/>
      <x:c r="M200" s="171"/>
      <x:c r="N200" s="171"/>
    </x:row>
    <x:row r="201" ht="18" customHeight="1">
      <x:c r="C201" s="231" t="str">
        <x:v>Budget unit cost</x:v>
      </x:c>
      <x:c r="D201" s="240" t="n">
        <x:f>D78</x:f>
        <x:v>18.5</x:v>
      </x:c>
      <x:c r="E201" s="240" t="n">
        <x:f>E78</x:f>
        <x:v>18.7</x:v>
      </x:c>
      <x:c r="F201" s="240" t="n">
        <x:f>F78</x:f>
        <x:v>19</x:v>
      </x:c>
      <x:c r="G201" s="240" t="n">
        <x:f>G78</x:f>
        <x:v>19.2</x:v>
      </x:c>
      <x:c r="H201" s="240" t="n">
        <x:f>H78</x:f>
        <x:v>19.5</x:v>
      </x:c>
      <x:c r="I201" s="240" t="n">
        <x:f>I78</x:f>
        <x:v>19.8</x:v>
      </x:c>
      <x:c r="J201" s="240" t="n">
        <x:f>J78</x:f>
        <x:v>19.173811889385657</x:v>
      </x:c>
      <x:c r="K201" s="171"/>
      <x:c r="L201" s="171"/>
      <x:c r="M201" s="171"/>
      <x:c r="N201" s="171"/>
    </x:row>
    <x:row r="202" ht="18" customHeight="1">
      <x:c r="C202" s="231" t="str">
        <x:v>Actual unit cost</x:v>
      </x:c>
      <x:c r="D202" s="240" t="n">
        <x:f>D111</x:f>
        <x:v>18.599999999999998</x:v>
      </x:c>
      <x:c r="E202" s="240" t="n">
        <x:f>E111</x:f>
        <x:v>18.5</x:v>
      </x:c>
      <x:c r="F202" s="240" t="n">
        <x:f>F111</x:f>
        <x:v>19.099999999999998</x:v>
      </x:c>
      <x:c r="G202" s="240" t="n">
        <x:f>G111</x:f>
        <x:v>19.4</x:v>
      </x:c>
      <x:c r="H202" s="240" t="n">
        <x:f>H111</x:f>
        <x:v>19.799999999999997</x:v>
      </x:c>
      <x:c r="I202" s="240" t="n">
        <x:f>I111</x:f>
        <x:v>20.1</x:v>
      </x:c>
      <x:c r="J202" s="240" t="n">
        <x:f>J111</x:f>
        <x:v>19.3215201941411</x:v>
      </x:c>
      <x:c r="K202" s="171"/>
      <x:c r="L202" s="171"/>
      <x:c r="M202" s="171"/>
      <x:c r="N202" s="171"/>
    </x:row>
    <x:row r="203" ht="18" customHeight="1">
      <x:c r="C203" s="231" t="str">
        <x:v>Budget guest-service expense</x:v>
      </x:c>
      <x:c r="D203" s="242" t="n">
        <x:f>D79</x:f>
        <x:v>31542.5</x:v>
      </x:c>
      <x:c r="E203" s="242" t="n">
        <x:f>E79</x:f>
        <x:v>30368.8</x:v>
      </x:c>
      <x:c r="F203" s="242" t="n">
        <x:f>F79</x:f>
        <x:v>38285</x:v>
      </x:c>
      <x:c r="G203" s="242" t="n">
        <x:f>G79</x:f>
        <x:v>40320</x:v>
      </x:c>
      <x:c r="H203" s="242" t="n">
        <x:f>H79</x:f>
        <x:v>44733</x:v>
      </x:c>
      <x:c r="I203" s="242" t="n">
        <x:f>I79</x:f>
        <x:v>46332</x:v>
      </x:c>
      <x:c r="J203" s="242" t="n">
        <x:f>J79</x:f>
        <x:v>231581.3</x:v>
      </x:c>
      <x:c r="K203" s="171"/>
      <x:c r="L203" s="171"/>
      <x:c r="M203" s="171"/>
      <x:c r="N203" s="171"/>
    </x:row>
    <x:row r="204" ht="18" customHeight="1">
      <x:c r="C204" s="231" t="str">
        <x:v>Actual guest-service expense</x:v>
      </x:c>
      <x:c r="D204" s="242" t="n">
        <x:f>D112</x:f>
        <x:v>30838.8</x:v>
      </x:c>
      <x:c r="E204" s="242" t="n">
        <x:f>E112</x:f>
        <x:v>29674</x:v>
      </x:c>
      <x:c r="F204" s="242" t="n">
        <x:f>F112</x:f>
        <x:v>36710.2</x:v>
      </x:c>
      <x:c r="G204" s="242" t="n">
        <x:f>G112</x:f>
        <x:v>37830</x:v>
      </x:c>
      <x:c r="H204" s="242" t="n">
        <x:f>H112</x:f>
        <x:v>42352.2</x:v>
      </x:c>
      <x:c r="I204" s="242" t="n">
        <x:f>I112</x:f>
        <x:v>45526.5</x:v>
      </x:c>
      <x:c r="J204" s="242" t="n">
        <x:f>J112</x:f>
        <x:v>222931.7</x:v>
      </x:c>
      <x:c r="K204" s="171"/>
      <x:c r="L204" s="171"/>
      <x:c r="M204" s="171"/>
      <x:c r="N204" s="171"/>
    </x:row>
    <x:row r="205" ht="18" customHeight="1">
      <x:c r="C205" s="231" t="str">
        <x:v>Volume effect</x:v>
      </x:c>
      <x:c r="D205" s="242" t="n">
        <x:f>(D200-D199)*D201</x:f>
        <x:v>-869.5</x:v>
      </x:c>
      <x:c r="E205" s="242" t="n">
        <x:f>(E200-E199)*E201</x:f>
        <x:v>-374</x:v>
      </x:c>
      <x:c r="F205" s="242" t="n">
        <x:f>(F200-F199)*F201</x:f>
        <x:v>-1767</x:v>
      </x:c>
      <x:c r="G205" s="242" t="n">
        <x:f>(G200-G199)*G201</x:f>
        <x:v>-2880</x:v>
      </x:c>
      <x:c r="H205" s="242" t="n">
        <x:f>(H200-H199)*H201</x:f>
        <x:v>-3022.5</x:v>
      </x:c>
      <x:c r="I205" s="242" t="n">
        <x:f>(I200-I199)*I201</x:f>
        <x:v>-1485</x:v>
      </x:c>
      <x:c r="J205" s="242" t="n">
        <x:f>SUM(D205:I205)</x:f>
        <x:v>-10398</x:v>
      </x:c>
      <x:c r="K205" s="171"/>
      <x:c r="L205" s="171"/>
      <x:c r="M205" s="171"/>
      <x:c r="N205" s="171"/>
    </x:row>
    <x:row r="206" ht="18" customHeight="1">
      <x:c r="C206" s="231" t="str">
        <x:v>Unit-cost effect</x:v>
      </x:c>
      <x:c r="D206" s="242" t="n">
        <x:f>D200*(D202-D201)</x:f>
        <x:v>165.79999999999646</x:v>
      </x:c>
      <x:c r="E206" s="242" t="n">
        <x:f>E200*(E202-E201)</x:f>
        <x:v>-320.7999999999989</x:v>
      </x:c>
      <x:c r="F206" s="242" t="n">
        <x:f>F200*(F202-F201)</x:f>
        <x:v>192.1999999999959</x:v>
      </x:c>
      <x:c r="G206" s="242" t="n">
        <x:f>G200*(G202-G201)</x:f>
        <x:v>389.99999999999864</x:v>
      </x:c>
      <x:c r="H206" s="242" t="n">
        <x:f>H200*(H202-H201)</x:f>
        <x:v>641.6999999999939</x:v>
      </x:c>
      <x:c r="I206" s="242" t="n">
        <x:f>I200*(I202-I201)</x:f>
        <x:v>679.5000000000016</x:v>
      </x:c>
      <x:c r="J206" s="242" t="n">
        <x:f>SUM(D206:I206)</x:f>
        <x:v>1748.3999999999876</x:v>
      </x:c>
      <x:c r="K206" s="171"/>
      <x:c r="L206" s="171"/>
      <x:c r="M206" s="171"/>
      <x:c r="N206" s="171"/>
    </x:row>
    <x:row r="207" ht="18" customHeight="1">
      <x:c r="C207" s="243" t="str">
        <x:v>Sum of effects</x:v>
      </x:c>
      <x:c r="D207" s="245" t="n">
        <x:f>SUM(D205:D206)</x:f>
        <x:v>-703.7000000000036</x:v>
      </x:c>
      <x:c r="E207" s="245" t="n">
        <x:f>SUM(E205:E206)</x:f>
        <x:v>-694.7999999999988</x:v>
      </x:c>
      <x:c r="F207" s="245" t="n">
        <x:f>SUM(F205:F206)</x:f>
        <x:v>-1574.800000000004</x:v>
      </x:c>
      <x:c r="G207" s="245" t="n">
        <x:f>SUM(G205:G206)</x:f>
        <x:v>-2490.0000000000014</x:v>
      </x:c>
      <x:c r="H207" s="245" t="n">
        <x:f>SUM(H205:H206)</x:f>
        <x:v>-2380.800000000006</x:v>
      </x:c>
      <x:c r="I207" s="245" t="n">
        <x:f>SUM(I205:I206)</x:f>
        <x:v>-805.4999999999984</x:v>
      </x:c>
      <x:c r="J207" s="245" t="n">
        <x:f>SUM(D207:I207)</x:f>
        <x:v>-8649.600000000013</x:v>
      </x:c>
      <x:c r="K207" s="171"/>
      <x:c r="L207" s="171"/>
      <x:c r="M207" s="171"/>
      <x:c r="N207" s="171"/>
    </x:row>
    <x:row r="208" ht="18" customHeight="1">
      <x:c r="C208" s="243" t="str">
        <x:v>Reported guest-service cost variance</x:v>
      </x:c>
      <x:c r="D208" s="245" t="n">
        <x:f>D204-D203</x:f>
        <x:v>-703.7000000000007</x:v>
      </x:c>
      <x:c r="E208" s="245" t="n">
        <x:f>E204-E203</x:f>
        <x:v>-694.7999999999993</x:v>
      </x:c>
      <x:c r="F208" s="245" t="n">
        <x:f>F204-F203</x:f>
        <x:v>-1574.800000000003</x:v>
      </x:c>
      <x:c r="G208" s="245" t="n">
        <x:f>G204-G203</x:f>
        <x:v>-2490</x:v>
      </x:c>
      <x:c r="H208" s="245" t="n">
        <x:f>H204-H203</x:f>
        <x:v>-2380.800000000003</x:v>
      </x:c>
      <x:c r="I208" s="245" t="n">
        <x:f>I204-I203</x:f>
        <x:v>-805.5</x:v>
      </x:c>
      <x:c r="J208" s="245" t="n">
        <x:f>J204-J203</x:f>
        <x:v>-8649.599999999977</x:v>
      </x:c>
      <x:c r="K208" s="171"/>
      <x:c r="L208" s="171"/>
      <x:c r="M208" s="171"/>
      <x:c r="N208" s="171"/>
    </x:row>
    <x:row r="209" ht="18" customHeight="1">
      <x:c r="C209" s="270" t="str">
        <x:v>Bridge residual</x:v>
      </x:c>
      <x:c r="D209" s="271" t="n">
        <x:f>D207-D208</x:f>
        <x:v>-2.8421709430404007e-12</x:v>
      </x:c>
      <x:c r="E209" s="271" t="n">
        <x:f>E207-E208</x:f>
        <x:v>4.547473508864641e-13</x:v>
      </x:c>
      <x:c r="F209" s="271" t="n">
        <x:f>F207-F208</x:f>
        <x:v>-1.1368683772161603e-12</x:v>
      </x:c>
      <x:c r="G209" s="271" t="n">
        <x:f>G207-G208</x:f>
        <x:v>-1.3642420526593924e-12</x:v>
      </x:c>
      <x:c r="H209" s="271" t="n">
        <x:f>H207-H208</x:f>
        <x:v>-3.183231456205249e-12</x:v>
      </x:c>
      <x:c r="I209" s="271" t="n">
        <x:f>I207-I208</x:f>
        <x:v>1.5916157281026244e-12</x:v>
      </x:c>
      <x:c r="J209" s="271" t="n">
        <x:f>J207-J208</x:f>
        <x:v>-3.637978807091713e-11</x:v>
      </x:c>
      <x:c r="K209" s="171"/>
      <x:c r="L209" s="171"/>
      <x:c r="M209" s="171"/>
      <x:c r="N209" s="171"/>
    </x:row>
    <x:row r="210" ht="18" customHeight="1">
      <x:c r="C210" s="171"/>
      <x:c r="D210" s="171"/>
      <x:c r="E210" s="171"/>
      <x:c r="F210" s="171"/>
      <x:c r="G210" s="171"/>
      <x:c r="H210" s="171"/>
      <x:c r="I210" s="171"/>
      <x:c r="J210" s="171"/>
      <x:c r="K210" s="171"/>
      <x:c r="L210" s="171"/>
      <x:c r="M210" s="171"/>
      <x:c r="N210" s="171"/>
    </x:row>
    <x:row r="211" ht="24" customHeight="1">
      <x:c r="C211" s="431" t="str">
        <x:v>Fixed-staff payroll bridge</x:v>
      </x:c>
      <x:c r="D211" s="432"/>
      <x:c r="E211" s="432"/>
      <x:c r="F211" s="432"/>
      <x:c r="G211" s="432"/>
      <x:c r="H211" s="432"/>
      <x:c r="I211" s="432"/>
      <x:c r="J211" s="433"/>
      <x:c r="K211" s="171"/>
      <x:c r="L211" s="171"/>
      <x:c r="M211" s="171"/>
      <x:c r="N211" s="171"/>
    </x:row>
    <x:row r="212" ht="18" customHeight="1">
      <x:c r="C212" s="174" t="str">
        <x:v>Actual cost minus Budget cost. Positive is a cost increase and unfavorable. Frozen labor data support both recorded FTE and payroll.</x:v>
      </x:c>
      <x:c r="D212" s="174"/>
      <x:c r="E212" s="174"/>
      <x:c r="F212" s="174"/>
      <x:c r="G212" s="174"/>
      <x:c r="H212" s="174"/>
      <x:c r="I212" s="174"/>
      <x:c r="J212" s="174"/>
      <x:c r="K212" s="171"/>
      <x:c r="L212" s="171"/>
      <x:c r="M212" s="171"/>
      <x:c r="N212" s="171"/>
    </x:row>
    <x:row r="213" ht="32" customHeight="1">
      <x:c r="C213" s="438" t="str">
        <x:v>Metric</x:v>
      </x:c>
      <x:c r="D213" s="441" t="n">
        <x:v>46023</x:v>
      </x:c>
      <x:c r="E213" s="441" t="n">
        <x:v>46054</x:v>
      </x:c>
      <x:c r="F213" s="441" t="n">
        <x:v>46082</x:v>
      </x:c>
      <x:c r="G213" s="441" t="n">
        <x:v>46113</x:v>
      </x:c>
      <x:c r="H213" s="441" t="n">
        <x:v>46143</x:v>
      </x:c>
      <x:c r="I213" s="441" t="n">
        <x:v>46174</x:v>
      </x:c>
      <x:c r="J213" s="440" t="str">
        <x:v>YTD</x:v>
      </x:c>
      <x:c r="K213" s="171"/>
      <x:c r="L213" s="171"/>
      <x:c r="M213" s="171"/>
      <x:c r="N213" s="171"/>
    </x:row>
    <x:row r="214" ht="18" customHeight="1">
      <x:c r="C214" s="228" t="str">
        <x:v>Budget fixed-staff FTE</x:v>
      </x:c>
      <x:c r="D214" s="273" t="n">
        <x:f>D82</x:f>
        <x:v>5</x:v>
      </x:c>
      <x:c r="E214" s="273" t="n">
        <x:f>E82</x:f>
        <x:v>5</x:v>
      </x:c>
      <x:c r="F214" s="273" t="n">
        <x:f>F82</x:f>
        <x:v>5</x:v>
      </x:c>
      <x:c r="G214" s="273" t="n">
        <x:f>G82</x:f>
        <x:v>5</x:v>
      </x:c>
      <x:c r="H214" s="273" t="n">
        <x:f>H82</x:f>
        <x:v>5</x:v>
      </x:c>
      <x:c r="I214" s="273" t="n">
        <x:f>I82</x:f>
        <x:v>5</x:v>
      </x:c>
      <x:c r="J214" s="273" t="n">
        <x:f>J82</x:f>
        <x:v>5</x:v>
      </x:c>
      <x:c r="K214" s="171"/>
      <x:c r="L214" s="171"/>
      <x:c r="M214" s="171"/>
      <x:c r="N214" s="171"/>
    </x:row>
    <x:row r="215" ht="18" customHeight="1">
      <x:c r="C215" s="231" t="str">
        <x:v>Actual fixed-staff FTE</x:v>
      </x:c>
      <x:c r="D215" s="251" t="n">
        <x:f>D115</x:f>
        <x:v>5</x:v>
      </x:c>
      <x:c r="E215" s="251" t="n">
        <x:f>E115</x:f>
        <x:v>5</x:v>
      </x:c>
      <x:c r="F215" s="251" t="n">
        <x:f>F115</x:f>
        <x:v>5</x:v>
      </x:c>
      <x:c r="G215" s="251" t="n">
        <x:f>G115</x:f>
        <x:v>5</x:v>
      </x:c>
      <x:c r="H215" s="251" t="n">
        <x:f>H115</x:f>
        <x:v>5</x:v>
      </x:c>
      <x:c r="I215" s="251" t="n">
        <x:f>I115</x:f>
        <x:v>5</x:v>
      </x:c>
      <x:c r="J215" s="251" t="n">
        <x:f>J115</x:f>
        <x:v>5</x:v>
      </x:c>
      <x:c r="K215" s="171"/>
      <x:c r="L215" s="171"/>
      <x:c r="M215" s="171"/>
      <x:c r="N215" s="171"/>
    </x:row>
    <x:row r="216" ht="18" customHeight="1">
      <x:c r="C216" s="231" t="str">
        <x:v>Budget cost per FTE</x:v>
      </x:c>
      <x:c r="D216" s="240" t="n">
        <x:f>D83</x:f>
        <x:v>6000</x:v>
      </x:c>
      <x:c r="E216" s="240" t="n">
        <x:f>E83</x:f>
        <x:v>6000</x:v>
      </x:c>
      <x:c r="F216" s="240" t="n">
        <x:f>F83</x:f>
        <x:v>6000</x:v>
      </x:c>
      <x:c r="G216" s="240" t="n">
        <x:f>G83</x:f>
        <x:v>6000</x:v>
      </x:c>
      <x:c r="H216" s="240" t="n">
        <x:f>H83</x:f>
        <x:v>6000</x:v>
      </x:c>
      <x:c r="I216" s="240" t="n">
        <x:f>I83</x:f>
        <x:v>6000</x:v>
      </x:c>
      <x:c r="J216" s="240" t="n">
        <x:f>J83</x:f>
        <x:v>6000</x:v>
      </x:c>
      <x:c r="K216" s="171"/>
      <x:c r="L216" s="171"/>
      <x:c r="M216" s="171"/>
      <x:c r="N216" s="171"/>
    </x:row>
    <x:row r="217" ht="18" customHeight="1">
      <x:c r="C217" s="231" t="str">
        <x:v>Actual cost per FTE</x:v>
      </x:c>
      <x:c r="D217" s="240" t="n">
        <x:f>D116</x:f>
        <x:v>5980</x:v>
      </x:c>
      <x:c r="E217" s="240" t="n">
        <x:f>E116</x:f>
        <x:v>6005</x:v>
      </x:c>
      <x:c r="F217" s="240" t="n">
        <x:f>F116</x:f>
        <x:v>6015</x:v>
      </x:c>
      <x:c r="G217" s="240" t="n">
        <x:f>G116</x:f>
        <x:v>6040</x:v>
      </x:c>
      <x:c r="H217" s="240" t="n">
        <x:f>H116</x:f>
        <x:v>6070</x:v>
      </x:c>
      <x:c r="I217" s="240" t="n">
        <x:f>I116</x:f>
        <x:v>6050</x:v>
      </x:c>
      <x:c r="J217" s="240" t="n">
        <x:f>J116</x:f>
        <x:v>6026.666666666667</x:v>
      </x:c>
      <x:c r="K217" s="171"/>
      <x:c r="L217" s="171"/>
      <x:c r="M217" s="171"/>
      <x:c r="N217" s="171"/>
    </x:row>
    <x:row r="218" ht="18" customHeight="1">
      <x:c r="C218" s="231" t="str">
        <x:v>Budget fixed-staff payroll</x:v>
      </x:c>
      <x:c r="D218" s="242" t="n">
        <x:f>D84</x:f>
        <x:v>30000</x:v>
      </x:c>
      <x:c r="E218" s="242" t="n">
        <x:f>E84</x:f>
        <x:v>30000</x:v>
      </x:c>
      <x:c r="F218" s="242" t="n">
        <x:f>F84</x:f>
        <x:v>30000</x:v>
      </x:c>
      <x:c r="G218" s="242" t="n">
        <x:f>G84</x:f>
        <x:v>30000</x:v>
      </x:c>
      <x:c r="H218" s="242" t="n">
        <x:f>H84</x:f>
        <x:v>30000</x:v>
      </x:c>
      <x:c r="I218" s="242" t="n">
        <x:f>I84</x:f>
        <x:v>30000</x:v>
      </x:c>
      <x:c r="J218" s="242" t="n">
        <x:f>J84</x:f>
        <x:v>180000</x:v>
      </x:c>
      <x:c r="K218" s="171"/>
      <x:c r="L218" s="171"/>
      <x:c r="M218" s="171"/>
      <x:c r="N218" s="171"/>
    </x:row>
    <x:row r="219" ht="18" customHeight="1">
      <x:c r="C219" s="231" t="str">
        <x:v>Actual fixed-staff payroll</x:v>
      </x:c>
      <x:c r="D219" s="242" t="n">
        <x:f>D117</x:f>
        <x:v>29900</x:v>
      </x:c>
      <x:c r="E219" s="242" t="n">
        <x:f>E117</x:f>
        <x:v>30025</x:v>
      </x:c>
      <x:c r="F219" s="242" t="n">
        <x:f>F117</x:f>
        <x:v>30075</x:v>
      </x:c>
      <x:c r="G219" s="242" t="n">
        <x:f>G117</x:f>
        <x:v>30200</x:v>
      </x:c>
      <x:c r="H219" s="242" t="n">
        <x:f>H117</x:f>
        <x:v>30350</x:v>
      </x:c>
      <x:c r="I219" s="242" t="n">
        <x:f>I117</x:f>
        <x:v>30250</x:v>
      </x:c>
      <x:c r="J219" s="242" t="n">
        <x:f>J117</x:f>
        <x:v>180800</x:v>
      </x:c>
      <x:c r="K219" s="171"/>
      <x:c r="L219" s="171"/>
      <x:c r="M219" s="171"/>
      <x:c r="N219" s="171"/>
    </x:row>
    <x:row r="220" ht="18" customHeight="1">
      <x:c r="C220" s="231" t="str">
        <x:v>FTE effect</x:v>
      </x:c>
      <x:c r="D220" s="242" t="n">
        <x:f>(D215-D214)*D216</x:f>
        <x:v>0</x:v>
      </x:c>
      <x:c r="E220" s="242" t="n">
        <x:f>(E215-E214)*E216</x:f>
        <x:v>0</x:v>
      </x:c>
      <x:c r="F220" s="242" t="n">
        <x:f>(F215-F214)*F216</x:f>
        <x:v>0</x:v>
      </x:c>
      <x:c r="G220" s="242" t="n">
        <x:f>(G215-G214)*G216</x:f>
        <x:v>0</x:v>
      </x:c>
      <x:c r="H220" s="242" t="n">
        <x:f>(H215-H214)*H216</x:f>
        <x:v>0</x:v>
      </x:c>
      <x:c r="I220" s="242" t="n">
        <x:f>(I215-I214)*I216</x:f>
        <x:v>0</x:v>
      </x:c>
      <x:c r="J220" s="242" t="n">
        <x:f>SUM(D220:I220)</x:f>
        <x:v>0</x:v>
      </x:c>
      <x:c r="K220" s="171"/>
      <x:c r="L220" s="171"/>
      <x:c r="M220" s="171"/>
      <x:c r="N220" s="171"/>
    </x:row>
    <x:row r="221" ht="18" customHeight="1">
      <x:c r="C221" s="231" t="str">
        <x:v>Rate effect</x:v>
      </x:c>
      <x:c r="D221" s="242" t="n">
        <x:f>D215*(D217-D216)</x:f>
        <x:v>-100</x:v>
      </x:c>
      <x:c r="E221" s="242" t="n">
        <x:f>E215*(E217-E216)</x:f>
        <x:v>25</x:v>
      </x:c>
      <x:c r="F221" s="242" t="n">
        <x:f>F215*(F217-F216)</x:f>
        <x:v>75</x:v>
      </x:c>
      <x:c r="G221" s="242" t="n">
        <x:f>G215*(G217-G216)</x:f>
        <x:v>200</x:v>
      </x:c>
      <x:c r="H221" s="242" t="n">
        <x:f>H215*(H217-H216)</x:f>
        <x:v>350</x:v>
      </x:c>
      <x:c r="I221" s="242" t="n">
        <x:f>I215*(I217-I216)</x:f>
        <x:v>250</x:v>
      </x:c>
      <x:c r="J221" s="242" t="n">
        <x:f>SUM(D221:I221)</x:f>
        <x:v>800</x:v>
      </x:c>
      <x:c r="K221" s="171"/>
      <x:c r="L221" s="171"/>
      <x:c r="M221" s="171"/>
      <x:c r="N221" s="171"/>
    </x:row>
    <x:row r="222" ht="18" customHeight="1">
      <x:c r="C222" s="243" t="str">
        <x:v>Sum of effects</x:v>
      </x:c>
      <x:c r="D222" s="245" t="n">
        <x:f>SUM(D220:D221)</x:f>
        <x:v>-100</x:v>
      </x:c>
      <x:c r="E222" s="245" t="n">
        <x:f>SUM(E220:E221)</x:f>
        <x:v>25</x:v>
      </x:c>
      <x:c r="F222" s="245" t="n">
        <x:f>SUM(F220:F221)</x:f>
        <x:v>75</x:v>
      </x:c>
      <x:c r="G222" s="245" t="n">
        <x:f>SUM(G220:G221)</x:f>
        <x:v>200</x:v>
      </x:c>
      <x:c r="H222" s="245" t="n">
        <x:f>SUM(H220:H221)</x:f>
        <x:v>350</x:v>
      </x:c>
      <x:c r="I222" s="245" t="n">
        <x:f>SUM(I220:I221)</x:f>
        <x:v>250</x:v>
      </x:c>
      <x:c r="J222" s="245" t="n">
        <x:f>SUM(D222:I222)</x:f>
        <x:v>800</x:v>
      </x:c>
      <x:c r="K222" s="171"/>
      <x:c r="L222" s="171"/>
      <x:c r="M222" s="171"/>
      <x:c r="N222" s="171"/>
    </x:row>
    <x:row r="223" ht="18" customHeight="1">
      <x:c r="C223" s="243" t="str">
        <x:v>Reported fixed-staff cost variance</x:v>
      </x:c>
      <x:c r="D223" s="245" t="n">
        <x:f>D219-D218</x:f>
        <x:v>-100</x:v>
      </x:c>
      <x:c r="E223" s="245" t="n">
        <x:f>E219-E218</x:f>
        <x:v>25</x:v>
      </x:c>
      <x:c r="F223" s="245" t="n">
        <x:f>F219-F218</x:f>
        <x:v>75</x:v>
      </x:c>
      <x:c r="G223" s="245" t="n">
        <x:f>G219-G218</x:f>
        <x:v>200</x:v>
      </x:c>
      <x:c r="H223" s="245" t="n">
        <x:f>H219-H218</x:f>
        <x:v>350</x:v>
      </x:c>
      <x:c r="I223" s="245" t="n">
        <x:f>I219-I218</x:f>
        <x:v>250</x:v>
      </x:c>
      <x:c r="J223" s="245" t="n">
        <x:f>J219-J218</x:f>
        <x:v>800</x:v>
      </x:c>
      <x:c r="K223" s="171"/>
      <x:c r="L223" s="171"/>
      <x:c r="M223" s="171"/>
      <x:c r="N223" s="171"/>
    </x:row>
    <x:row r="224" ht="18" customHeight="1">
      <x:c r="C224" s="270" t="str">
        <x:v>Bridge residual</x:v>
      </x:c>
      <x:c r="D224" s="271" t="n">
        <x:f>D222-D223</x:f>
        <x:v>0</x:v>
      </x:c>
      <x:c r="E224" s="271" t="n">
        <x:f>E222-E223</x:f>
        <x:v>0</x:v>
      </x:c>
      <x:c r="F224" s="271" t="n">
        <x:f>F222-F223</x:f>
        <x:v>0</x:v>
      </x:c>
      <x:c r="G224" s="271" t="n">
        <x:f>G222-G223</x:f>
        <x:v>0</x:v>
      </x:c>
      <x:c r="H224" s="271" t="n">
        <x:f>H222-H223</x:f>
        <x:v>0</x:v>
      </x:c>
      <x:c r="I224" s="271" t="n">
        <x:f>I222-I223</x:f>
        <x:v>0</x:v>
      </x:c>
      <x:c r="J224" s="271" t="n">
        <x:f>J222-J223</x:f>
        <x:v>0</x:v>
      </x:c>
      <x:c r="K224" s="171"/>
      <x:c r="L224" s="171"/>
      <x:c r="M224" s="171"/>
      <x:c r="N224" s="171"/>
    </x:row>
    <x:row r="225" ht="18" customHeight="1">
      <x:c r="C225" s="171"/>
      <x:c r="D225" s="171"/>
      <x:c r="E225" s="171"/>
      <x:c r="F225" s="171"/>
      <x:c r="G225" s="171"/>
      <x:c r="H225" s="171"/>
      <x:c r="I225" s="171"/>
      <x:c r="J225" s="171"/>
      <x:c r="K225" s="171"/>
      <x:c r="L225" s="171"/>
      <x:c r="M225" s="171"/>
      <x:c r="N225" s="171"/>
    </x:row>
    <x:row r="226" ht="24" customHeight="1">
      <x:c r="C226" s="431" t="str">
        <x:v>Other expense variances</x:v>
      </x:c>
      <x:c r="D226" s="432"/>
      <x:c r="E226" s="432"/>
      <x:c r="F226" s="432"/>
      <x:c r="G226" s="432"/>
      <x:c r="H226" s="432"/>
      <x:c r="I226" s="432"/>
      <x:c r="J226" s="433"/>
      <x:c r="K226" s="171"/>
      <x:c r="L226" s="171"/>
      <x:c r="M226" s="171"/>
      <x:c r="N226" s="171"/>
    </x:row>
    <x:row r="227" ht="18" customHeight="1">
      <x:c r="C227" s="174" t="str">
        <x:v>Actual cost minus Budget cost. Positive is a cost increase and unfavorable. Distribution remains fixed at 4% of recorded revenue; it has no independent fee-rate variance.</x:v>
      </x:c>
      <x:c r="D227" s="174"/>
      <x:c r="E227" s="174"/>
      <x:c r="F227" s="174"/>
      <x:c r="G227" s="174"/>
      <x:c r="H227" s="174"/>
      <x:c r="I227" s="174"/>
      <x:c r="J227" s="174"/>
      <x:c r="K227" s="171"/>
      <x:c r="L227" s="171"/>
      <x:c r="M227" s="171"/>
      <x:c r="N227" s="171"/>
    </x:row>
    <x:row r="228" ht="32" customHeight="1">
      <x:c r="C228" s="438" t="str">
        <x:v>Metric</x:v>
      </x:c>
      <x:c r="D228" s="441" t="n">
        <x:v>46023</x:v>
      </x:c>
      <x:c r="E228" s="441" t="n">
        <x:v>46054</x:v>
      </x:c>
      <x:c r="F228" s="441" t="n">
        <x:v>46082</x:v>
      </x:c>
      <x:c r="G228" s="441" t="n">
        <x:v>46113</x:v>
      </x:c>
      <x:c r="H228" s="441" t="n">
        <x:v>46143</x:v>
      </x:c>
      <x:c r="I228" s="441" t="n">
        <x:v>46174</x:v>
      </x:c>
      <x:c r="J228" s="440" t="str">
        <x:v>YTD</x:v>
      </x:c>
      <x:c r="K228" s="171"/>
      <x:c r="L228" s="171"/>
      <x:c r="M228" s="171"/>
      <x:c r="N228" s="171"/>
    </x:row>
    <x:row r="229" ht="18" customHeight="1">
      <x:c r="C229" s="228" t="str">
        <x:v>Rent cost change</x:v>
      </x:c>
      <x:c r="D229" s="264" t="n">
        <x:f>D118-D85</x:f>
        <x:v>0</x:v>
      </x:c>
      <x:c r="E229" s="264" t="n">
        <x:f>E118-E85</x:f>
        <x:v>0</x:v>
      </x:c>
      <x:c r="F229" s="264" t="n">
        <x:f>F118-F85</x:f>
        <x:v>0</x:v>
      </x:c>
      <x:c r="G229" s="264" t="n">
        <x:f>G118-G85</x:f>
        <x:v>0</x:v>
      </x:c>
      <x:c r="H229" s="264" t="n">
        <x:f>H118-H85</x:f>
        <x:v>0</x:v>
      </x:c>
      <x:c r="I229" s="264" t="n">
        <x:f>I118-I85</x:f>
        <x:v>0</x:v>
      </x:c>
      <x:c r="J229" s="264" t="n">
        <x:f>SUM(D229:I229)</x:f>
        <x:v>0</x:v>
      </x:c>
      <x:c r="K229" s="171"/>
      <x:c r="L229" s="171"/>
      <x:c r="M229" s="171"/>
      <x:c r="N229" s="171"/>
    </x:row>
    <x:row r="230" ht="18" customHeight="1">
      <x:c r="C230" s="231" t="str">
        <x:v>Property-overhead cost change</x:v>
      </x:c>
      <x:c r="D230" s="242" t="n">
        <x:f>D119-D86</x:f>
        <x:v>50</x:v>
      </x:c>
      <x:c r="E230" s="242" t="n">
        <x:f>E119-E86</x:f>
        <x:v>-180</x:v>
      </x:c>
      <x:c r="F230" s="242" t="n">
        <x:f>F119-F86</x:f>
        <x:v>120</x:v>
      </x:c>
      <x:c r="G230" s="242" t="n">
        <x:f>G119-G86</x:f>
        <x:v>110</x:v>
      </x:c>
      <x:c r="H230" s="242" t="n">
        <x:f>H119-H86</x:f>
        <x:v>1450</x:v>
      </x:c>
      <x:c r="I230" s="242" t="n">
        <x:f>I119-I86</x:f>
        <x:v>210</x:v>
      </x:c>
      <x:c r="J230" s="242" t="n">
        <x:f>SUM(D230:I230)</x:f>
        <x:v>1760</x:v>
      </x:c>
      <x:c r="K230" s="171"/>
      <x:c r="L230" s="171"/>
      <x:c r="M230" s="171"/>
      <x:c r="N230" s="171"/>
    </x:row>
    <x:row r="231" ht="18" customHeight="1">
      <x:c r="C231" s="231" t="str">
        <x:v>Marketing cost change</x:v>
      </x:c>
      <x:c r="D231" s="242" t="n">
        <x:f>D120-D87</x:f>
        <x:v>200</x:v>
      </x:c>
      <x:c r="E231" s="242" t="n">
        <x:f>E120-E87</x:f>
        <x:v>-200</x:v>
      </x:c>
      <x:c r="F231" s="242" t="n">
        <x:f>F120-F87</x:f>
        <x:v>300</x:v>
      </x:c>
      <x:c r="G231" s="242" t="n">
        <x:f>G120-G87</x:f>
        <x:v>100</x:v>
      </x:c>
      <x:c r="H231" s="242" t="n">
        <x:f>H120-H87</x:f>
        <x:v>200</x:v>
      </x:c>
      <x:c r="I231" s="242" t="n">
        <x:f>I120-I87</x:f>
        <x:v>-18000</x:v>
      </x:c>
      <x:c r="J231" s="242" t="n">
        <x:f>SUM(D231:I231)</x:f>
        <x:v>-17400</x:v>
      </x:c>
      <x:c r="K231" s="171"/>
      <x:c r="L231" s="171"/>
      <x:c r="M231" s="171"/>
      <x:c r="N231" s="171"/>
    </x:row>
    <x:row r="232" ht="18" customHeight="1">
      <x:c r="C232" s="231" t="str">
        <x:v>Revenue variance</x:v>
      </x:c>
      <x:c r="D232" s="242" t="n">
        <x:f>D106-D73</x:f>
        <x:v>-5694</x:v>
      </x:c>
      <x:c r="E232" s="242" t="n">
        <x:f>E106-E73</x:f>
        <x:v>-2450.640000000014</x:v>
      </x:c>
      <x:c r="F232" s="242" t="n">
        <x:f>F106-F73</x:f>
        <x:v>-15522.199999999953</x:v>
      </x:c>
      <x:c r="G232" s="242" t="n">
        <x:f>G106-G73</x:f>
        <x:v>-27180.5</x:v>
      </x:c>
      <x:c r="H232" s="242" t="n">
        <x:f>H106-H73</x:f>
        <x:v>-32158.699999999953</x:v>
      </x:c>
      <x:c r="I232" s="242" t="n">
        <x:f>I106-I73</x:f>
        <x:v>-15185.700000000012</x:v>
      </x:c>
      <x:c r="J232" s="242" t="n">
        <x:f>SUM(D232:I232)</x:f>
        <x:v>-98191.73999999993</x:v>
      </x:c>
      <x:c r="K232" s="171"/>
      <x:c r="L232" s="171"/>
      <x:c r="M232" s="171"/>
      <x:c r="N232" s="171"/>
    </x:row>
    <x:row r="233" ht="18" customHeight="1">
      <x:c r="C233" s="231" t="str">
        <x:v>Distribution cost change</x:v>
      </x:c>
      <x:c r="D233" s="242" t="n">
        <x:f>D114-D81</x:f>
        <x:v>-227.76000000000022</x:v>
      </x:c>
      <x:c r="E233" s="242" t="n">
        <x:f>E114-E81</x:f>
        <x:v>-98.02560000000085</x:v>
      </x:c>
      <x:c r="F233" s="242" t="n">
        <x:f>F114-F81</x:f>
        <x:v>-620.8879999999972</x:v>
      </x:c>
      <x:c r="G233" s="242" t="n">
        <x:f>G114-G81</x:f>
        <x:v>-1087.2199999999993</x:v>
      </x:c>
      <x:c r="H233" s="242" t="n">
        <x:f>H114-H81</x:f>
        <x:v>-1286.3479999999981</x:v>
      </x:c>
      <x:c r="I233" s="242" t="n">
        <x:f>I114-I81</x:f>
        <x:v>-607.4280000000017</x:v>
      </x:c>
      <x:c r="J233" s="242" t="n">
        <x:f>SUM(D233:I233)</x:f>
        <x:v>-3927.6695999999974</x:v>
      </x:c>
      <x:c r="K233" s="171"/>
      <x:c r="L233" s="171"/>
      <x:c r="M233" s="171"/>
      <x:c r="N233" s="171"/>
    </x:row>
    <x:row r="234" ht="18" customHeight="1">
      <x:c r="C234" s="231" t="str">
        <x:v>Mechanical 4% of revenue variance</x:v>
      </x:c>
      <x:c r="D234" s="242" t="n">
        <x:f>D232*4%</x:f>
        <x:v>-227.76</x:v>
      </x:c>
      <x:c r="E234" s="242" t="n">
        <x:f>E232*4%</x:f>
        <x:v>-98.02560000000057</x:v>
      </x:c>
      <x:c r="F234" s="242" t="n">
        <x:f>F232*4%</x:f>
        <x:v>-620.8879999999981</x:v>
      </x:c>
      <x:c r="G234" s="242" t="n">
        <x:f>G232*4%</x:f>
        <x:v>-1087.22</x:v>
      </x:c>
      <x:c r="H234" s="242" t="n">
        <x:f>H232*4%</x:f>
        <x:v>-1286.3479999999981</x:v>
      </x:c>
      <x:c r="I234" s="242" t="n">
        <x:f>I232*4%</x:f>
        <x:v>-607.4280000000005</x:v>
      </x:c>
      <x:c r="J234" s="242" t="n">
        <x:f>SUM(D234:I234)</x:f>
        <x:v>-3927.669599999997</x:v>
      </x:c>
      <x:c r="K234" s="171"/>
      <x:c r="L234" s="171"/>
      <x:c r="M234" s="171"/>
      <x:c r="N234" s="171"/>
    </x:row>
    <x:row r="235" ht="18" customHeight="1">
      <x:c r="C235" s="270" t="str">
        <x:v>Distribution linkage residual</x:v>
      </x:c>
      <x:c r="D235" s="271" t="n">
        <x:f>D233-D234</x:f>
        <x:v>-2.2737367544323206e-13</x:v>
      </x:c>
      <x:c r="E235" s="271" t="n">
        <x:f>E233-E234</x:f>
        <x:v>-2.8421709430404007e-13</x:v>
      </x:c>
      <x:c r="F235" s="271" t="n">
        <x:f>F233-F234</x:f>
        <x:v>9.094947017729282e-13</x:v>
      </x:c>
      <x:c r="G235" s="271" t="n">
        <x:f>G233-G234</x:f>
        <x:v>6.821210263296962e-13</x:v>
      </x:c>
      <x:c r="H235" s="271" t="n">
        <x:f>H233-H234</x:f>
        <x:v>0</x:v>
      </x:c>
      <x:c r="I235" s="271" t="n">
        <x:f>I233-I234</x:f>
        <x:v>-1.2505552149377763e-12</x:v>
      </x:c>
      <x:c r="J235" s="271" t="n">
        <x:f>J233-J234</x:f>
        <x:v>-4.547473508864641e-13</x:v>
      </x:c>
      <x:c r="K235" s="171"/>
      <x:c r="L235" s="171"/>
      <x:c r="M235" s="171"/>
      <x:c r="N235" s="171"/>
    </x:row>
    <x:row r="236" ht="18" customHeight="1">
      <x:c r="C236" s="171"/>
      <x:c r="D236" s="171"/>
      <x:c r="E236" s="171"/>
      <x:c r="F236" s="171"/>
      <x:c r="G236" s="171"/>
      <x:c r="H236" s="171"/>
      <x:c r="I236" s="171"/>
      <x:c r="J236" s="171"/>
      <x:c r="K236" s="171"/>
      <x:c r="L236" s="171"/>
      <x:c r="M236" s="171"/>
      <x:c r="N236" s="171"/>
    </x:row>
    <x:row r="237" ht="24" customHeight="1">
      <x:c r="C237" s="431" t="str">
        <x:v>Property operating contribution bridge</x:v>
      </x:c>
      <x:c r="D237" s="432"/>
      <x:c r="E237" s="432"/>
      <x:c r="F237" s="432"/>
      <x:c r="G237" s="432"/>
      <x:c r="H237" s="432"/>
      <x:c r="I237" s="432"/>
      <x:c r="J237" s="433"/>
      <x:c r="K237" s="171"/>
      <x:c r="L237" s="171"/>
      <x:c r="M237" s="171"/>
      <x:c r="N237" s="171"/>
    </x:row>
    <x:row r="238" ht="18" customHeight="1">
      <x:c r="C238" s="174" t="str">
        <x:v>Revenue effects enter unchanged. Expense effects are reversed: Budget cost minus Actual cost. Positive contribution impact is favorable.</x:v>
      </x:c>
      <x:c r="D238" s="174"/>
      <x:c r="E238" s="174"/>
      <x:c r="F238" s="174"/>
      <x:c r="G238" s="174"/>
      <x:c r="H238" s="174"/>
      <x:c r="I238" s="174"/>
      <x:c r="J238" s="174"/>
      <x:c r="K238" s="171"/>
      <x:c r="L238" s="171"/>
      <x:c r="M238" s="171"/>
      <x:c r="N238" s="171"/>
    </x:row>
    <x:row r="239" ht="32" customHeight="1">
      <x:c r="C239" s="438" t="str">
        <x:v>Bridge component</x:v>
      </x:c>
      <x:c r="D239" s="439" t="str">
        <x:v>YTD contribution impact</x:v>
      </x:c>
      <x:c r="E239" s="440" t="str">
        <x:v>Direction</x:v>
      </x:c>
      <x:c r="F239" s="171"/>
      <x:c r="G239" s="171"/>
      <x:c r="H239" s="171"/>
      <x:c r="I239" s="171"/>
      <x:c r="J239" s="171"/>
      <x:c r="K239" s="171"/>
      <x:c r="L239" s="171"/>
      <x:c r="M239" s="171"/>
      <x:c r="N239" s="171"/>
    </x:row>
    <x:row r="240" ht="18" customHeight="1">
      <x:c r="C240" s="274" t="str">
        <x:v>YTD budget property operating contribution</x:v>
      </x:c>
      <x:c r="D240" s="275" t="n">
        <x:f>J89</x:f>
        <x:v>534270.0103999999</x:v>
      </x:c>
      <x:c r="E240" s="274" t="str">
        <x:v>Starting point</x:v>
      </x:c>
      <x:c r="F240" s="171"/>
      <x:c r="G240" s="171"/>
      <x:c r="H240" s="171"/>
      <x:c r="I240" s="171"/>
      <x:c r="J240" s="171"/>
      <x:c r="K240" s="171"/>
      <x:c r="L240" s="171"/>
      <x:c r="M240" s="171"/>
      <x:c r="N240" s="171"/>
    </x:row>
    <x:row r="241" ht="18" customHeight="1">
      <x:c r="C241" s="231" t="str">
        <x:v>Revenue volume effect</x:v>
      </x:c>
      <x:c r="D241" s="276" t="n">
        <x:f>J169</x:f>
        <x:v>-84994.68999999999</x:v>
      </x:c>
      <x:c r="E241" s="231" t="str">
        <x:f>IF(D241&gt;0,"Favorable",IF(D241&lt;0,"Unfavorable","Neutral"))</x:f>
        <x:v>Unfavorable</x:v>
      </x:c>
      <x:c r="F241" s="171"/>
      <x:c r="G241" s="171"/>
      <x:c r="H241" s="171"/>
      <x:c r="I241" s="171"/>
      <x:c r="J241" s="171"/>
      <x:c r="K241" s="171"/>
      <x:c r="L241" s="171"/>
      <x:c r="M241" s="171"/>
      <x:c r="N241" s="171"/>
    </x:row>
    <x:row r="242" ht="18" customHeight="1">
      <x:c r="C242" s="231" t="str">
        <x:v>Revenue mix effect</x:v>
      </x:c>
      <x:c r="D242" s="276" t="n">
        <x:f>J170</x:f>
        <x:v>-17667.04999999989</x:v>
      </x:c>
      <x:c r="E242" s="231" t="str">
        <x:f>IF(D242&gt;0,"Favorable",IF(D242&lt;0,"Unfavorable","Neutral"))</x:f>
        <x:v>Unfavorable</x:v>
      </x:c>
      <x:c r="F242" s="171"/>
      <x:c r="G242" s="171"/>
      <x:c r="H242" s="171"/>
      <x:c r="I242" s="171"/>
      <x:c r="J242" s="171"/>
      <x:c r="K242" s="171"/>
      <x:c r="L242" s="171"/>
      <x:c r="M242" s="171"/>
      <x:c r="N242" s="171"/>
    </x:row>
    <x:row r="243" ht="18" customHeight="1">
      <x:c r="C243" s="231" t="str">
        <x:v>Revenue rate effect</x:v>
      </x:c>
      <x:c r="D243" s="276" t="n">
        <x:f>J171</x:f>
        <x:v>4470</x:v>
      </x:c>
      <x:c r="E243" s="231" t="str">
        <x:f>IF(D243&gt;0,"Favorable",IF(D243&lt;0,"Unfavorable","Neutral"))</x:f>
        <x:v>Favorable</x:v>
      </x:c>
      <x:c r="F243" s="171"/>
      <x:c r="G243" s="171"/>
      <x:c r="H243" s="171"/>
      <x:c r="I243" s="171"/>
      <x:c r="J243" s="171"/>
      <x:c r="K243" s="171"/>
      <x:c r="L243" s="171"/>
      <x:c r="M243" s="171"/>
      <x:c r="N243" s="171"/>
    </x:row>
    <x:row r="244" ht="18" customHeight="1">
      <x:c r="C244" s="231" t="str">
        <x:v>Housekeeping volume impact</x:v>
      </x:c>
      <x:c r="D244" s="276" t="n">
        <x:f>-J189</x:f>
        <x:v>6289.58</x:v>
      </x:c>
      <x:c r="E244" s="231" t="str">
        <x:f>IF(D244&gt;0,"Favorable",IF(D244&lt;0,"Unfavorable","Neutral"))</x:f>
        <x:v>Favorable</x:v>
      </x:c>
      <x:c r="F244" s="171"/>
      <x:c r="G244" s="171"/>
      <x:c r="H244" s="171"/>
      <x:c r="I244" s="171"/>
      <x:c r="J244" s="171"/>
      <x:c r="K244" s="171"/>
      <x:c r="L244" s="171"/>
      <x:c r="M244" s="171"/>
      <x:c r="N244" s="171"/>
    </x:row>
    <x:row r="245" ht="18" customHeight="1">
      <x:c r="C245" s="231" t="str">
        <x:v>Housekeeping efficiency impact</x:v>
      </x:c>
      <x:c r="D245" s="276" t="n">
        <x:f>-J190</x:f>
        <x:v>-11327.579999999996</x:v>
      </x:c>
      <x:c r="E245" s="231" t="str">
        <x:f>IF(D245&gt;0,"Favorable",IF(D245&lt;0,"Unfavorable","Neutral"))</x:f>
        <x:v>Unfavorable</x:v>
      </x:c>
      <x:c r="F245" s="171"/>
      <x:c r="G245" s="171"/>
      <x:c r="H245" s="171"/>
      <x:c r="I245" s="171"/>
      <x:c r="J245" s="171"/>
      <x:c r="K245" s="171"/>
      <x:c r="L245" s="171"/>
      <x:c r="M245" s="171"/>
      <x:c r="N245" s="171"/>
    </x:row>
    <x:row r="246" ht="18" customHeight="1">
      <x:c r="C246" s="231" t="str">
        <x:v>Housekeeping wage-rate impact</x:v>
      </x:c>
      <x:c r="D246" s="276" t="n">
        <x:f>-J191</x:f>
        <x:v>-4714.1199999999935</x:v>
      </x:c>
      <x:c r="E246" s="231" t="str">
        <x:f>IF(D246&gt;0,"Favorable",IF(D246&lt;0,"Unfavorable","Neutral"))</x:f>
        <x:v>Unfavorable</x:v>
      </x:c>
      <x:c r="F246" s="171"/>
      <x:c r="G246" s="171"/>
      <x:c r="H246" s="171"/>
      <x:c r="I246" s="171"/>
      <x:c r="J246" s="171"/>
      <x:c r="K246" s="171"/>
      <x:c r="L246" s="171"/>
      <x:c r="M246" s="171"/>
      <x:c r="N246" s="171"/>
    </x:row>
    <x:row r="247" ht="18" customHeight="1">
      <x:c r="C247" s="231" t="str">
        <x:v>Guest-service volume impact</x:v>
      </x:c>
      <x:c r="D247" s="276" t="n">
        <x:f>-J205</x:f>
        <x:v>10398</x:v>
      </x:c>
      <x:c r="E247" s="231" t="str">
        <x:f>IF(D247&gt;0,"Favorable",IF(D247&lt;0,"Unfavorable","Neutral"))</x:f>
        <x:v>Favorable</x:v>
      </x:c>
      <x:c r="F247" s="171"/>
      <x:c r="G247" s="171"/>
      <x:c r="H247" s="171"/>
      <x:c r="I247" s="171"/>
      <x:c r="J247" s="171"/>
      <x:c r="K247" s="171"/>
      <x:c r="L247" s="171"/>
      <x:c r="M247" s="171"/>
      <x:c r="N247" s="171"/>
    </x:row>
    <x:row r="248" ht="18" customHeight="1">
      <x:c r="C248" s="231" t="str">
        <x:v>Guest-service unit-cost impact</x:v>
      </x:c>
      <x:c r="D248" s="276" t="n">
        <x:f>-J206</x:f>
        <x:v>-1748.3999999999876</x:v>
      </x:c>
      <x:c r="E248" s="231" t="str">
        <x:f>IF(D248&gt;0,"Favorable",IF(D248&lt;0,"Unfavorable","Neutral"))</x:f>
        <x:v>Unfavorable</x:v>
      </x:c>
      <x:c r="F248" s="171"/>
      <x:c r="G248" s="171"/>
      <x:c r="H248" s="171"/>
      <x:c r="I248" s="171"/>
      <x:c r="J248" s="171"/>
      <x:c r="K248" s="171"/>
      <x:c r="L248" s="171"/>
      <x:c r="M248" s="171"/>
      <x:c r="N248" s="171"/>
    </x:row>
    <x:row r="249" ht="18" customHeight="1">
      <x:c r="C249" s="231" t="str">
        <x:v>Distribution-fee impact</x:v>
      </x:c>
      <x:c r="D249" s="276" t="n">
        <x:f>-J233</x:f>
        <x:v>3927.6695999999974</x:v>
      </x:c>
      <x:c r="E249" s="231" t="str">
        <x:f>IF(D249&gt;0,"Favorable",IF(D249&lt;0,"Unfavorable","Neutral"))</x:f>
        <x:v>Favorable</x:v>
      </x:c>
      <x:c r="F249" s="171"/>
      <x:c r="G249" s="171"/>
      <x:c r="H249" s="171"/>
      <x:c r="I249" s="171"/>
      <x:c r="J249" s="171"/>
      <x:c r="K249" s="171"/>
      <x:c r="L249" s="171"/>
      <x:c r="M249" s="171"/>
      <x:c r="N249" s="171"/>
    </x:row>
    <x:row r="250" ht="18" customHeight="1">
      <x:c r="C250" s="231" t="str">
        <x:v>Fixed-staff FTE impact</x:v>
      </x:c>
      <x:c r="D250" s="276" t="n">
        <x:f>-J220</x:f>
        <x:v>0</x:v>
      </x:c>
      <x:c r="E250" s="231" t="str">
        <x:f>IF(D250&gt;0,"Favorable",IF(D250&lt;0,"Unfavorable","Neutral"))</x:f>
        <x:v>Neutral</x:v>
      </x:c>
      <x:c r="F250" s="171"/>
      <x:c r="G250" s="171"/>
      <x:c r="H250" s="171"/>
      <x:c r="I250" s="171"/>
      <x:c r="J250" s="171"/>
      <x:c r="K250" s="171"/>
      <x:c r="L250" s="171"/>
      <x:c r="M250" s="171"/>
      <x:c r="N250" s="171"/>
    </x:row>
    <x:row r="251" ht="18" customHeight="1">
      <x:c r="C251" s="231" t="str">
        <x:v>Fixed-staff rate impact</x:v>
      </x:c>
      <x:c r="D251" s="276" t="n">
        <x:f>-J221</x:f>
        <x:v>-800</x:v>
      </x:c>
      <x:c r="E251" s="231" t="str">
        <x:f>IF(D251&gt;0,"Favorable",IF(D251&lt;0,"Unfavorable","Neutral"))</x:f>
        <x:v>Unfavorable</x:v>
      </x:c>
      <x:c r="F251" s="171"/>
      <x:c r="G251" s="171"/>
      <x:c r="H251" s="171"/>
      <x:c r="I251" s="171"/>
      <x:c r="J251" s="171"/>
      <x:c r="K251" s="171"/>
      <x:c r="L251" s="171"/>
      <x:c r="M251" s="171"/>
      <x:c r="N251" s="171"/>
    </x:row>
    <x:row r="252" ht="18" customHeight="1">
      <x:c r="C252" s="231" t="str">
        <x:v>Rent impact</x:v>
      </x:c>
      <x:c r="D252" s="276" t="n">
        <x:f>-J229</x:f>
        <x:v>0</x:v>
      </x:c>
      <x:c r="E252" s="231" t="str">
        <x:f>IF(D252&gt;0,"Favorable",IF(D252&lt;0,"Unfavorable","Neutral"))</x:f>
        <x:v>Neutral</x:v>
      </x:c>
      <x:c r="F252" s="171"/>
      <x:c r="G252" s="171"/>
      <x:c r="H252" s="171"/>
      <x:c r="I252" s="171"/>
      <x:c r="J252" s="171"/>
      <x:c r="K252" s="171"/>
      <x:c r="L252" s="171"/>
      <x:c r="M252" s="171"/>
      <x:c r="N252" s="171"/>
    </x:row>
    <x:row r="253" ht="18" customHeight="1">
      <x:c r="C253" s="231" t="str">
        <x:v>Property-overhead impact</x:v>
      </x:c>
      <x:c r="D253" s="276" t="n">
        <x:f>-J230</x:f>
        <x:v>-1760</x:v>
      </x:c>
      <x:c r="E253" s="231" t="str">
        <x:f>IF(D253&gt;0,"Favorable",IF(D253&lt;0,"Unfavorable","Neutral"))</x:f>
        <x:v>Unfavorable</x:v>
      </x:c>
      <x:c r="F253" s="171"/>
      <x:c r="G253" s="171"/>
      <x:c r="H253" s="171"/>
      <x:c r="I253" s="171"/>
      <x:c r="J253" s="171"/>
      <x:c r="K253" s="171"/>
      <x:c r="L253" s="171"/>
      <x:c r="M253" s="171"/>
      <x:c r="N253" s="171"/>
    </x:row>
    <x:row r="254" ht="18" customHeight="1">
      <x:c r="C254" s="231" t="str">
        <x:v>Marketing impact</x:v>
      </x:c>
      <x:c r="D254" s="276" t="n">
        <x:f>-J231</x:f>
        <x:v>17400</x:v>
      </x:c>
      <x:c r="E254" s="231" t="str">
        <x:f>IF(D254&gt;0,"Favorable",IF(D254&lt;0,"Unfavorable","Neutral"))</x:f>
        <x:v>Favorable</x:v>
      </x:c>
      <x:c r="F254" s="171"/>
      <x:c r="G254" s="171"/>
      <x:c r="H254" s="171"/>
      <x:c r="I254" s="171"/>
      <x:c r="J254" s="171"/>
      <x:c r="K254" s="171"/>
      <x:c r="L254" s="171"/>
      <x:c r="M254" s="171"/>
      <x:c r="N254" s="171"/>
    </x:row>
    <x:row r="255" ht="18" customHeight="1">
      <x:c r="C255" s="243" t="str">
        <x:v>Bridged YTD actual contribution</x:v>
      </x:c>
      <x:c r="D255" s="277" t="n">
        <x:f>SUM(D240:D254)</x:f>
        <x:v>453743.4200000001</x:v>
      </x:c>
      <x:c r="E255" s="243" t="str">
        <x:v>Ending point</x:v>
      </x:c>
      <x:c r="F255" s="171"/>
      <x:c r="G255" s="171"/>
      <x:c r="H255" s="171"/>
      <x:c r="I255" s="171"/>
      <x:c r="J255" s="171"/>
      <x:c r="K255" s="171"/>
      <x:c r="L255" s="171"/>
      <x:c r="M255" s="171"/>
      <x:c r="N255" s="171"/>
    </x:row>
    <x:row r="256" ht="18" customHeight="1">
      <x:c r="C256" s="243" t="str">
        <x:v>Recorded YTD actual contribution</x:v>
      </x:c>
      <x:c r="D256" s="277" t="n">
        <x:f>J122</x:f>
        <x:v>453743.42000000004</x:v>
      </x:c>
      <x:c r="E256" s="243" t="str">
        <x:v>Recorded result</x:v>
      </x:c>
      <x:c r="F256" s="171"/>
      <x:c r="G256" s="171"/>
      <x:c r="H256" s="171"/>
      <x:c r="I256" s="171"/>
      <x:c r="J256" s="171"/>
      <x:c r="K256" s="171"/>
      <x:c r="L256" s="171"/>
      <x:c r="M256" s="171"/>
      <x:c r="N256" s="171"/>
    </x:row>
    <x:row r="257" ht="18" customHeight="1">
      <x:c r="C257" s="270" t="str">
        <x:v>Unexplained residual</x:v>
      </x:c>
      <x:c r="D257" s="271" t="n">
        <x:f>D255-D256</x:f>
        <x:v>5.820766091346741e-11</x:v>
      </x:c>
      <x:c r="E257" s="270" t="str">
        <x:f>IF(ABS(D257)&lt;=0.01,"Reconciled",IF(D257&gt;0,"Favorable","Unfavorable"))</x:f>
        <x:v>Reconciled</x:v>
      </x:c>
      <x:c r="F257" s="171"/>
      <x:c r="G257" s="171"/>
      <x:c r="H257" s="171"/>
      <x:c r="I257" s="171"/>
      <x:c r="J257" s="171"/>
      <x:c r="K257" s="171"/>
      <x:c r="L257" s="171"/>
      <x:c r="M257" s="171"/>
      <x:c r="N257" s="171"/>
    </x:row>
    <x:row r="258" ht="18" customHeight="1">
      <x:c r="C258" s="171"/>
      <x:c r="D258" s="171"/>
      <x:c r="E258" s="171"/>
      <x:c r="F258" s="171"/>
      <x:c r="G258" s="171"/>
      <x:c r="H258" s="171"/>
      <x:c r="I258" s="171"/>
      <x:c r="J258" s="171"/>
      <x:c r="K258" s="171"/>
      <x:c r="L258" s="171"/>
      <x:c r="M258" s="171"/>
      <x:c r="N258" s="171"/>
    </x:row>
    <x:row r="259" ht="24" customHeight="1">
      <x:c r="C259" s="431" t="str">
        <x:v>Evidence-controlled commentary register</x:v>
      </x:c>
      <x:c r="D259" s="432"/>
      <x:c r="E259" s="432"/>
      <x:c r="F259" s="432"/>
      <x:c r="G259" s="432"/>
      <x:c r="H259" s="432"/>
      <x:c r="I259" s="432"/>
      <x:c r="J259" s="432"/>
      <x:c r="K259" s="432"/>
      <x:c r="L259" s="432"/>
      <x:c r="M259" s="432"/>
      <x:c r="N259" s="433"/>
    </x:row>
    <x:row r="260" ht="18" customHeight="1">
      <x:c r="C260" s="174" t="str">
        <x:v>Only meaningful results and supplied events are included. Observations are separated from interpretation; Phase 4 implications remain qualitative and are not forecast assumptions.</x:v>
      </x:c>
      <x:c r="D260" s="174"/>
      <x:c r="E260" s="174"/>
      <x:c r="F260" s="174"/>
      <x:c r="G260" s="174"/>
      <x:c r="H260" s="174"/>
      <x:c r="I260" s="174"/>
      <x:c r="J260" s="174"/>
      <x:c r="K260" s="174"/>
      <x:c r="L260" s="174"/>
      <x:c r="M260" s="174"/>
      <x:c r="N260" s="174"/>
    </x:row>
    <x:row r="261" ht="42" customHeight="1">
      <x:c r="C261" s="437" t="str">
        <x:v>Variance or issue</x:v>
      </x:c>
      <x:c r="D261" s="437" t="str">
        <x:v>Period</x:v>
      </x:c>
      <x:c r="E261" s="437" t="str">
        <x:v>Observed result</x:v>
      </x:c>
      <x:c r="F261" s="437"/>
      <x:c r="G261" s="437" t="str">
        <x:v>Financial impact</x:v>
      </x:c>
      <x:c r="H261" s="437" t="str">
        <x:v>Operating driver</x:v>
      </x:c>
      <x:c r="I261" s="437" t="str">
        <x:v>Evidence or case-update reference</x:v>
      </x:c>
      <x:c r="J261" s="437"/>
      <x:c r="K261" s="437" t="str">
        <x:v>Confidence</x:v>
      </x:c>
      <x:c r="L261" s="437" t="str">
        <x:v>Classification</x:v>
      </x:c>
      <x:c r="M261" s="437" t="str">
        <x:v>Potential Phase 4 forecast implication</x:v>
      </x:c>
      <x:c r="N261" s="437" t="str">
        <x:v>Follow-up required</x:v>
      </x:c>
    </x:row>
    <x:row r="262" ht="88" customHeight="1">
      <x:c r="C262" s="282" t="str">
        <x:v>Spring retail/leisure weakness</x:v>
      </x:c>
      <x:c r="D262" s="282" t="str">
        <x:v>Mar–Apr 2026</x:v>
      </x:c>
      <x:c r="E262" s="282" t="str">
        <x:v>Retail room nights were 453.2 below the matched budget across March and April. The bridge's total-volume effect is not a customer-level causal allocation.</x:v>
      </x:c>
      <x:c r="F262" s="282"/>
      <x:c r="G262" s="283" t="n">
        <x:f>SUM(F169:G169)</x:f>
        <x:v>-37445.03999999999</x:v>
      </x:c>
      <x:c r="H262" s="282" t="str">
        <x:v>Occupied-room volume</x:v>
      </x:c>
      <x:c r="I262" s="282" t="str">
        <x:v>UPD-2026-001 | 2026-04-15 | Weekly property records show retail/leisure occupied room nights below the approved planning pattern during March and April.</x:v>
      </x:c>
      <x:c r="J262" s="282"/>
      <x:c r="K262" s="282" t="str">
        <x:v>Confirmed</x:v>
      </x:c>
      <x:c r="L262" s="282" t="str">
        <x:v>Uncertain or unconfirmed</x:v>
      </x:c>
      <x:c r="M262" s="282" t="str">
        <x:v>Evaluate whether the observed retail/leisure weakness persists when Phase 4 assumptions are set.</x:v>
      </x:c>
      <x:c r="N262" s="282" t="str">
        <x:v>Compare summer pickup with the dated retail/leisure pattern before changing the outlook.</x:v>
      </x:c>
    </x:row>
    <x:row r="263" ht="88" customHeight="1">
      <x:c r="C263" s="282" t="str">
        <x:v>Negotiated-corporate support</x:v>
      </x:c>
      <x:c r="D263" s="282" t="str">
        <x:v>Mar–Jun 2026</x:v>
      </x:c>
      <x:c r="E263" s="282" t="str">
        <x:v>YTD corporate room nights were 507.0 above budget and corporate share was 6.0 percentage points above budget. The sequential mix effect reflects the lower corporate ADR relative to retail ADR.</x:v>
      </x:c>
      <x:c r="F263" s="282"/>
      <x:c r="G263" s="283" t="n">
        <x:f>J170</x:f>
        <x:v>-17667.04999999989</x:v>
      </x:c>
      <x:c r="H263" s="282" t="str">
        <x:v>Customer mix</x:v>
      </x:c>
      <x:c r="I263" s="282" t="str">
        <x:v>UPD-2026-002 | 2026-05-20 | Negotiated corporate accounts generated additional transient room nights during the spring; no guaranteed room blocks are in place.</x:v>
      </x:c>
      <x:c r="J263" s="282"/>
      <x:c r="K263" s="282" t="str">
        <x:v>Confirmed</x:v>
      </x:c>
      <x:c r="L263" s="282" t="str">
        <x:v>Mix-related</x:v>
      </x:c>
      <x:c r="M263" s="282" t="str">
        <x:v>Evaluate corporate pickup separately from total demand in Phase 4.</x:v>
      </x:c>
      <x:c r="N263" s="282" t="str">
        <x:v>Retain the no-guaranteed-block limitation when reviewing future corporate volume.</x:v>
      </x:c>
    </x:row>
    <x:row r="264" ht="88" customHeight="1">
      <x:c r="C264" s="282" t="str">
        <x:v>Housekeeping wage increase</x:v>
      </x:c>
      <x:c r="D264" s="282" t="str">
        <x:v>Apr–Jun 2026</x:v>
      </x:c>
      <x:c r="E264" s="282" t="str">
        <x:v>Actual effective wage increased after April 1. The bridge isolates the wage-rate cost effect from volume and efficiency.</x:v>
      </x:c>
      <x:c r="F264" s="282"/>
      <x:c r="G264" s="283" t="n">
        <x:f>SUM(G191:I191)</x:f>
        <x:v>4700.999999999991</x:v>
      </x:c>
      <x:c r="H264" s="282" t="str">
        <x:v>Loaded wage per hour</x:v>
      </x:c>
      <x:c r="I264" s="282" t="str">
        <x:v>UPD-2026-003 | 2026-03-18 | The loaded housekeeping wage increases to 23.25 per hour on April 1.</x:v>
      </x:c>
      <x:c r="J264" s="282"/>
      <x:c r="K264" s="282" t="str">
        <x:v>Confirmed</x:v>
      </x:c>
      <x:c r="L264" s="282" t="str">
        <x:v>Structural</x:v>
      </x:c>
      <x:c r="M264" s="282" t="str">
        <x:v>Apply the confirmed wage schedule when Phase 4 assumptions are developed.</x:v>
      </x:c>
      <x:c r="N264" s="282" t="str">
        <x:v>No causal follow-up required; preserve the confirmed effective date.</x:v>
      </x:c>
    </x:row>
    <x:row r="265" ht="88" customHeight="1">
      <x:c r="C265" s="282" t="str">
        <x:v>Housekeeping productivity disruption</x:v>
      </x:c>
      <x:c r="D265" s="282" t="str">
        <x:v>Apr–May 2026</x:v>
      </x:c>
      <x:c r="E265" s="282" t="str">
        <x:v>Housekeeping hours per occupied room exceeded budget in April and May. The efficiency effect is separated from the April wage change.</x:v>
      </x:c>
      <x:c r="F265" s="282"/>
      <x:c r="G265" s="283" t="n">
        <x:f>SUM(G190:H190)</x:f>
        <x:v>7625.640000000001</x:v>
      </x:c>
      <x:c r="H265" s="282" t="str">
        <x:v>Hours per occupied room</x:v>
      </x:c>
      <x:c r="I265" s="282" t="str">
        <x:v>UPD-2026-004 | 2026-06-20 | Property logs record higher housekeeping hours during April and May; management expects the transition to continue easing after June.</x:v>
      </x:c>
      <x:c r="J265" s="282"/>
      <x:c r="K265" s="282" t="str">
        <x:v>Management Estimate</x:v>
      </x:c>
      <x:c r="L265" s="282" t="str">
        <x:v>Temporary</x:v>
      </x:c>
      <x:c r="M265" s="282" t="str">
        <x:v>Evaluate the documented easing assumption in Phase 4; do not treat it as a recorded result.</x:v>
      </x:c>
      <x:c r="N265" s="282" t="str">
        <x:v>Review post-June productivity evidence before setting a normalization path.</x:v>
      </x:c>
    </x:row>
    <x:row r="266" ht="88" customHeight="1">
      <x:c r="C266" s="282" t="str">
        <x:v>June marketing timing</x:v>
      </x:c>
      <x:c r="D266" s="282" t="str">
        <x:v>Jun 2026</x:v>
      </x:c>
      <x:c r="E266" s="282" t="str">
        <x:v>Recorded June marketing was $18,000 below budget because the scheduled activity was not delivered in June.</x:v>
      </x:c>
      <x:c r="F266" s="282"/>
      <x:c r="G266" s="283" t="n">
        <x:f>I231</x:f>
        <x:v>-18000</x:v>
      </x:c>
      <x:c r="H266" s="282" t="str">
        <x:v>Service timing</x:v>
      </x:c>
      <x:c r="I266" s="282" t="str">
        <x:v>UPD-2026-005 | 2026-06-24 | The marketing activity scheduled for June was not delivered and has been rescheduled for September.</x:v>
      </x:c>
      <x:c r="J266" s="282"/>
      <x:c r="K266" s="282" t="str">
        <x:v>Confirmed</x:v>
      </x:c>
      <x:c r="L266" s="282" t="str">
        <x:v>Timing</x:v>
      </x:c>
      <x:c r="M266" s="282" t="str">
        <x:v>Evaluate the September service timing in Phase 4 without changing recorded June actuals.</x:v>
      </x:c>
      <x:c r="N266" s="282" t="str">
        <x:v>Confirm the September service schedule when forecast assumptions are authorized.</x:v>
      </x:c>
    </x:row>
    <x:row r="267" ht="88" customHeight="1">
      <x:c r="C267" s="282" t="str">
        <x:v>Unresolved property-overhead item</x:v>
      </x:c>
      <x:c r="D267" s="282" t="str">
        <x:v>May 2026</x:v>
      </x:c>
      <x:c r="E267" s="282" t="str">
        <x:v>May property overhead was $1,450 above budget, a 5.0% increase. Available evidence does not establish a cause or ongoing treatment.</x:v>
      </x:c>
      <x:c r="F267" s="282"/>
      <x:c r="G267" s="283" t="n">
        <x:f>H230</x:f>
        <x:v>1450</x:v>
      </x:c>
      <x:c r="H267" s="282" t="str">
        <x:v>Property-overhead spending</x:v>
      </x:c>
      <x:c r="I267" s="282" t="str">
        <x:v>UPD-2026-006 | 2026-06-30 | A modest May property-overhead increase remains under vendor-detail review; available records do not establish a definitive cause.</x:v>
      </x:c>
      <x:c r="J267" s="282"/>
      <x:c r="K267" s="442" t="str">
        <x:v>Unconfirmed</x:v>
      </x:c>
      <x:c r="L267" s="442" t="str">
        <x:v>Uncertain or unconfirmed</x:v>
      </x:c>
      <x:c r="M267" s="282" t="str">
        <x:v>Do not change the Phase 4 run rate without additional evidence.</x:v>
      </x:c>
      <x:c r="N267" s="282" t="str">
        <x:v>Request vendor invoice detail before assigning cause or forecast treatment.</x:v>
      </x:c>
    </x:row>
  </x:sheetData>
  <x:mergeCells>
    <x:mergeCell ref="C58:J58"/>
    <x:mergeCell ref="C22:J22"/>
    <x:mergeCell ref="C159:J159"/>
    <x:mergeCell ref="C177:J177"/>
    <x:mergeCell ref="C197:J197"/>
    <x:mergeCell ref="C212:J212"/>
    <x:mergeCell ref="C227:J227"/>
    <x:mergeCell ref="C238:J238"/>
    <x:mergeCell ref="E261:F261"/>
    <x:mergeCell ref="I261:J261"/>
    <x:mergeCell ref="E262:F262"/>
    <x:mergeCell ref="I262:J262"/>
    <x:mergeCell ref="E263:F263"/>
    <x:mergeCell ref="I263:J263"/>
    <x:mergeCell ref="E264:F264"/>
    <x:mergeCell ref="I264:J264"/>
    <x:mergeCell ref="E265:F265"/>
    <x:mergeCell ref="I265:J265"/>
    <x:mergeCell ref="E266:F266"/>
    <x:mergeCell ref="I266:J266"/>
    <x:mergeCell ref="E267:F267"/>
    <x:mergeCell ref="I267:J26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BFBFBF"/>
  </x:sheetPr>
  <x:sheetViews>
    <x:sheetView showGridLines="0" workbookViewId="0"/>
  </x:sheetViews>
  <x:sheetFormatPr defaultRowHeight="15"/>
  <x:cols>
    <x:col min="3" max="3" width="1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2" ht="25" customHeight="1">
      <x:c r="C2" s="3" t="str">
        <x:v>Management review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>
      <x:c r="C3" s="2"/>
    </x:row>
    <x:row r="4">
      <x:c r="C4" s="2"/>
    </x:row>
    <x:row r="5">
      <x:c r="C5" s="133" t="str">
        <x:v>The management-facing review is not available in Phase 2.</x:v>
      </x:c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40"/>
    </x:row>
    <x:row r="6">
      <x:c r="C6" s="136"/>
      <x:c r="D6" s="141"/>
      <x:c r="E6" s="141"/>
      <x:c r="F6" s="141"/>
      <x:c r="G6" s="141"/>
      <x:c r="H6" s="141"/>
      <x:c r="I6" s="141"/>
      <x:c r="J6" s="141"/>
      <x:c r="K6" s="141"/>
      <x:c r="L6" s="141"/>
      <x:c r="M6" s="141"/>
      <x:c r="N6" s="142"/>
    </x:row>
    <x:row r="7">
      <x:c r="C7" s="2"/>
    </x:row>
    <x:row r="8">
      <x:c r="C8" s="2"/>
    </x:row>
    <x:row r="9">
      <x:c r="C9" s="38" t="str">
        <x:v>The Review sheet will be completed only after the variance and reforecast phases are validated.</x:v>
      </x:c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</x:row>
    <x:row r="10">
      <x:c r="C10" s="145"/>
      <x:c r="D10" s="145"/>
      <x:c r="E10" s="145"/>
      <x:c r="F10" s="145"/>
      <x:c r="G10" s="145"/>
      <x:c r="H10" s="145"/>
      <x:c r="I10" s="145"/>
      <x:c r="J10" s="145"/>
      <x:c r="K10" s="145"/>
      <x:c r="L10" s="145"/>
      <x:c r="M10" s="145"/>
      <x:c r="N10" s="145"/>
    </x:row>
    <x:row r="11">
      <x:c r="C11" s="2"/>
    </x:row>
    <x:row r="12">
      <x:c r="C12" s="38" t="str">
        <x:v>No charts, findings, recommendations, risks, opportunities, scenario results, or management conclusions are included in this phase.</x:v>
      </x:c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</x:row>
    <x:row r="13">
      <x:c r="C13" s="145"/>
      <x:c r="D13" s="145"/>
      <x:c r="E13" s="145"/>
      <x:c r="F13" s="145"/>
      <x:c r="G13" s="145"/>
      <x:c r="H13" s="145"/>
      <x:c r="I13" s="145"/>
      <x:c r="J13" s="145"/>
      <x:c r="K13" s="145"/>
      <x:c r="L13" s="145"/>
      <x:c r="M13" s="145"/>
      <x:c r="N13" s="145"/>
    </x:row>
  </x:sheetData>
  <x:mergeCells>
    <x:mergeCell ref="C2:N2"/>
    <x:mergeCell ref="C5:N6"/>
    <x:mergeCell ref="C9:N10"/>
    <x:mergeCell ref="C12:N1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595959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3" max="3" width="52" hidden="0" customWidth="1"/>
    <x:col min="4" max="4" width="27" hidden="0" customWidth="1"/>
    <x:col min="5" max="5" width="16" hidden="0" customWidth="1"/>
    <x:col min="6" max="6" width="13" hidden="0" customWidth="1"/>
    <x:col min="7" max="7" width="48" hidden="0" customWidth="1"/>
    <x:col min="8" max="8" width="3" hidden="0" customWidth="1"/>
    <x:col min="9" max="9" width="3" hidden="0" customWidth="1"/>
    <x:col min="10" max="10" width="22" hidden="0" customWidth="1"/>
    <x:col min="11" max="11" width="22" hidden="0" customWidth="1"/>
    <x:col min="12" max="12" width="12" hidden="0" customWidth="1"/>
  </x:cols>
  <x:sheetData>
    <x:row r="2" ht="25" customHeight="1">
      <x:c r="C2" s="3" t="str">
        <x:v>Phase 3 validation checks</x:v>
      </x:c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C3" s="41" t="str">
        <x:v>Checks read source, budget, and variance results. No other worksheet depends on this sheet.</x:v>
      </x:c>
      <x:c r="D3" s="41"/>
      <x:c r="E3" s="41"/>
      <x:c r="F3" s="41"/>
      <x:c r="G3" s="41"/>
      <x:c r="H3" s="41"/>
      <x:c r="I3" s="41"/>
      <x:c r="J3" s="41"/>
      <x:c r="K3" s="41"/>
      <x:c r="L3" s="41"/>
    </x:row>
    <x:row r="4">
      <x:c r="C4" s="148" t="str">
        <x:v>Master Phase 3 status</x:v>
      </x:c>
      <x:c r="D4" s="149" t="str">
        <x:f>IF(COUNTIFS(F8:F114,"PASS")=88,"PASS","FAIL")</x:f>
        <x:v>PASS</x:v>
      </x:c>
      <x:c r="E4" s="2"/>
      <x:c r="F4" s="2"/>
      <x:c r="G4" s="2"/>
      <x:c r="H4" s="2"/>
      <x:c r="I4" s="2"/>
      <x:c r="J4" s="2"/>
      <x:c r="K4" s="2"/>
      <x:c r="L4" s="2"/>
    </x:row>
    <x:row r="5"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C7" s="150" t="str">
        <x:v>Source integrity</x:v>
      </x:c>
      <x:c r="D7" s="153" t="str">
        <x:v>Measured issues / difference</x:v>
      </x:c>
      <x:c r="E7" s="153" t="str">
        <x:v>Tolerance</x:v>
      </x:c>
      <x:c r="F7" s="153" t="str">
        <x:v>Status</x:v>
      </x:c>
      <x:c r="G7" s="154" t="str">
        <x:v>Basis</x:v>
      </x:c>
      <x:c r="H7" s="2"/>
      <x:c r="I7" s="2"/>
      <x:c r="J7" s="156" t="str">
        <x:v>Expected budget period</x:v>
      </x:c>
      <x:c r="K7" s="156" t="str">
        <x:v>Source occurrence count</x:v>
      </x:c>
      <x:c r="L7" s="156" t="str">
        <x:v>Status</x:v>
      </x:c>
    </x:row>
    <x:row r="8">
      <x:c r="C8" s="31" t="str">
        <x:v>Expected source tables are populated</x:v>
      </x:c>
      <x:c r="D8" s="159" t="n">
        <x:f>IF(AND(COUNTA(Data!$C$8:$G$151)&gt;0,COUNTA(Data!$C$158:$G$193)&gt;0,COUNTA(Data!$C$200:$H$217)&gt;0,COUNTA(Data!$C$224:$J$230)&gt;0,COUNTA(Assumptions!$C$8:$R$19)&gt;0),0,1)</x:f>
        <x:v>0</x:v>
      </x:c>
      <x:c r="E8" s="159" t="n">
        <x:v>0</x:v>
      </x:c>
      <x:c r="F8" s="31" t="str">
        <x:f>IF(ABS(D8)&lt;=E8,"PASS","FAIL")</x:f>
        <x:v>PASS</x:v>
      </x:c>
      <x:c r="G8" s="145" t="str">
        <x:v>Five static source ranges</x:v>
      </x:c>
      <x:c r="H8" s="2"/>
      <x:c r="I8" s="2"/>
      <x:c r="J8" s="157" t="n">
        <x:v>46023</x:v>
      </x:c>
      <x:c r="K8" s="2" t="n">
        <x:f>COUNTIFS(Assumptions!$D$8:$D$19,J8)</x:f>
        <x:v>1</x:v>
      </x:c>
      <x:c r="L8" s="2" t="str">
        <x:f>IF(K8=1,"PASS","FAIL")</x:f>
        <x:v>PASS</x:v>
      </x:c>
    </x:row>
    <x:row r="9">
      <x:c r="C9" s="32" t="str">
        <x:v>Approved budget assumption row count</x:v>
      </x:c>
      <x:c r="D9" s="160" t="n">
        <x:f>ABS(COUNTA(Assumptions!$C$8:$C$19)-12)</x:f>
        <x:v>0</x:v>
      </x:c>
      <x:c r="E9" s="160" t="n">
        <x:v>0</x:v>
      </x:c>
      <x:c r="F9" s="32" t="str">
        <x:f>IF(ABS(D9)&lt;=E9,"PASS","FAIL")</x:f>
        <x:v>PASS</x:v>
      </x:c>
      <x:c r="G9" s="161" t="str">
        <x:v>Expected 12</x:v>
      </x:c>
      <x:c r="H9" s="2"/>
      <x:c r="I9" s="2"/>
      <x:c r="J9" s="157" t="n">
        <x:v>46054</x:v>
      </x:c>
      <x:c r="K9" s="2" t="n">
        <x:f>COUNTIFS(Assumptions!$D$8:$D$19,J9)</x:f>
        <x:v>1</x:v>
      </x:c>
      <x:c r="L9" s="2" t="str">
        <x:f>IF(K9=1,"PASS","FAIL")</x:f>
        <x:v>PASS</x:v>
      </x:c>
    </x:row>
    <x:row r="10">
      <x:c r="C10" s="32" t="str">
        <x:v>Financial actual row count</x:v>
      </x:c>
      <x:c r="D10" s="160" t="n">
        <x:f>ABS(COUNTA(Data!$C$8:$C$151)-144)</x:f>
        <x:v>0</x:v>
      </x:c>
      <x:c r="E10" s="160" t="n">
        <x:v>0</x:v>
      </x:c>
      <x:c r="F10" s="32" t="str">
        <x:f>IF(ABS(D10)&lt;=E10,"PASS","FAIL")</x:f>
        <x:v>PASS</x:v>
      </x:c>
      <x:c r="G10" s="161" t="str">
        <x:v>Expected 144</x:v>
      </x:c>
      <x:c r="H10" s="2"/>
      <x:c r="I10" s="2"/>
      <x:c r="J10" s="157" t="n">
        <x:v>46082</x:v>
      </x:c>
      <x:c r="K10" s="2" t="n">
        <x:f>COUNTIFS(Assumptions!$D$8:$D$19,J10)</x:f>
        <x:v>1</x:v>
      </x:c>
      <x:c r="L10" s="2" t="str">
        <x:f>IF(K10=1,"PASS","FAIL")</x:f>
        <x:v>PASS</x:v>
      </x:c>
    </x:row>
    <x:row r="11">
      <x:c r="C11" s="32" t="str">
        <x:v>Operating actual row count</x:v>
      </x:c>
      <x:c r="D11" s="160" t="n">
        <x:f>ABS(COUNTA(Data!$C$158:$C$193)-36)</x:f>
        <x:v>0</x:v>
      </x:c>
      <x:c r="E11" s="160" t="n">
        <x:v>0</x:v>
      </x:c>
      <x:c r="F11" s="32" t="str">
        <x:f>IF(ABS(D11)&lt;=E11,"PASS","FAIL")</x:f>
        <x:v>PASS</x:v>
      </x:c>
      <x:c r="G11" s="161" t="str">
        <x:v>Expected 36</x:v>
      </x:c>
      <x:c r="H11" s="2"/>
      <x:c r="I11" s="2"/>
      <x:c r="J11" s="157" t="n">
        <x:v>46113</x:v>
      </x:c>
      <x:c r="K11" s="2" t="n">
        <x:f>COUNTIFS(Assumptions!$D$8:$D$19,J11)</x:f>
        <x:v>1</x:v>
      </x:c>
      <x:c r="L11" s="2" t="str">
        <x:f>IF(K11=1,"PASS","FAIL")</x:f>
        <x:v>PASS</x:v>
      </x:c>
    </x:row>
    <x:row r="12">
      <x:c r="C12" s="32" t="str">
        <x:v>Labor actual row count</x:v>
      </x:c>
      <x:c r="D12" s="160" t="n">
        <x:f>ABS(COUNTA(Data!$C$200:$C$217)-18)</x:f>
        <x:v>0</x:v>
      </x:c>
      <x:c r="E12" s="160" t="n">
        <x:v>0</x:v>
      </x:c>
      <x:c r="F12" s="32" t="str">
        <x:f>IF(ABS(D12)&lt;=E12,"PASS","FAIL")</x:f>
        <x:v>PASS</x:v>
      </x:c>
      <x:c r="G12" s="161" t="str">
        <x:v>Expected 18</x:v>
      </x:c>
      <x:c r="H12" s="2"/>
      <x:c r="I12" s="2"/>
      <x:c r="J12" s="157" t="n">
        <x:v>46143</x:v>
      </x:c>
      <x:c r="K12" s="2" t="n">
        <x:f>COUNTIFS(Assumptions!$D$8:$D$19,J12)</x:f>
        <x:v>1</x:v>
      </x:c>
      <x:c r="L12" s="2" t="str">
        <x:f>IF(K12=1,"PASS","FAIL")</x:f>
        <x:v>PASS</x:v>
      </x:c>
    </x:row>
    <x:row r="13">
      <x:c r="C13" s="32" t="str">
        <x:v>Case update row count</x:v>
      </x:c>
      <x:c r="D13" s="160" t="n">
        <x:f>ABS(COUNTA(Data!$C$224:$C$230)-7)</x:f>
        <x:v>0</x:v>
      </x:c>
      <x:c r="E13" s="160" t="n">
        <x:v>0</x:v>
      </x:c>
      <x:c r="F13" s="32" t="str">
        <x:f>IF(ABS(D13)&lt;=E13,"PASS","FAIL")</x:f>
        <x:v>PASS</x:v>
      </x:c>
      <x:c r="G13" s="161" t="str">
        <x:v>Expected 7</x:v>
      </x:c>
      <x:c r="H13" s="2"/>
      <x:c r="I13" s="2"/>
      <x:c r="J13" s="157" t="n">
        <x:v>46174</x:v>
      </x:c>
      <x:c r="K13" s="2" t="n">
        <x:f>COUNTIFS(Assumptions!$D$8:$D$19,J13)</x:f>
        <x:v>1</x:v>
      </x:c>
      <x:c r="L13" s="2" t="str">
        <x:f>IF(K13=1,"PASS","FAIL")</x:f>
        <x:v>PASS</x:v>
      </x:c>
    </x:row>
    <x:row r="14">
      <x:c r="C14" s="32" t="str">
        <x:v>Required source fields</x:v>
      </x:c>
      <x:c r="D14" s="160" t="n">
        <x:f>IF(AND(Data!C7="case_version",Data!D7="period",Data!E7="account_code",Data!F7="account_name",Data!G7="amount_usd",Data!C157="case_version",Data!D157="period",Data!E157="segment",Data!F157="occupied_room_nights",Data!G157="room_revenue",Data!C199="case_version",Data!D199="period",Data!E199="housekeeping_hours",Data!F199="housekeeping_payroll",Data!G199="fixed_staff_fte",Data!H199="fixed_staff_payroll",Data!C223="update_id",Data!D223="as_of_date",Data!E223="effective_start",Data!F223="effective_end",Data!G223="category",Data!H223="observation",Data!I223="evidence_status",Data!J223="forecast_relevance",Assumptions!C7="case_version",Assumptions!D7="period",Assumptions!E7="rooms_available",Assumptions!F7="total_occupied_room_nights",Assumptions!G7="corporate_share",Assumptions!H7="retail_adr",Assumptions!I7="corporate_adr",Assumptions!J7="housekeeping_hours_per_occupied_room",Assumptions!K7="housekeeping_loaded_wage_per_hour",Assumptions!L7="guest_service_cost_per_occupied_room",Assumptions!M7="distribution_fee_rate",Assumptions!N7="fixed_staff_fte",Assumptions!O7="fixed_staff_loaded_cost_per_fte",Assumptions!P7="rent",Assumptions!Q7="property_overhead",Assumptions!R7="marketing"),0,1)</x:f>
        <x:v>0</x:v>
      </x:c>
      <x:c r="E14" s="160" t="n">
        <x:v>0</x:v>
      </x:c>
      <x:c r="F14" s="32" t="str">
        <x:f>IF(ABS(D14)&lt;=E14,"PASS","FAIL")</x:f>
        <x:v>PASS</x:v>
      </x:c>
      <x:c r="G14" s="161" t="str">
        <x:v>Exact required headers</x:v>
      </x:c>
      <x:c r="H14" s="2"/>
      <x:c r="I14" s="2"/>
      <x:c r="J14" s="157" t="n">
        <x:v>46204</x:v>
      </x:c>
      <x:c r="K14" s="2" t="n">
        <x:f>COUNTIFS(Assumptions!$D$8:$D$19,J14)</x:f>
        <x:v>1</x:v>
      </x:c>
      <x:c r="L14" s="2" t="str">
        <x:f>IF(K14=1,"PASS","FAIL")</x:f>
        <x:v>PASS</x:v>
      </x:c>
    </x:row>
    <x:row r="15">
      <x:c r="C15" s="32" t="str">
        <x:v>Case version</x:v>
      </x:c>
      <x:c r="D15" s="160" t="n">
        <x:f>COUNTIFS(Assumptions!$C$8:$C$19,"&lt;&gt;v1.0")+COUNTIFS(Data!$C$8:$C$151,"&lt;&gt;v1.0")+COUNTIFS(Data!$C$158:$C$193,"&lt;&gt;v1.0")+COUNTIFS(Data!$C$200:$C$217,"&lt;&gt;v1.0")</x:f>
        <x:v>0</x:v>
      </x:c>
      <x:c r="E15" s="160" t="n">
        <x:v>0</x:v>
      </x:c>
      <x:c r="F15" s="32" t="str">
        <x:f>IF(ABS(D15)&lt;=E15,"PASS","FAIL")</x:f>
        <x:v>PASS</x:v>
      </x:c>
      <x:c r="G15" s="161" t="str">
        <x:v>All versioned rows must equal v1.0</x:v>
      </x:c>
      <x:c r="H15" s="2"/>
      <x:c r="I15" s="2"/>
      <x:c r="J15" s="157" t="n">
        <x:v>46235</x:v>
      </x:c>
      <x:c r="K15" s="2" t="n">
        <x:f>COUNTIFS(Assumptions!$D$8:$D$19,J15)</x:f>
        <x:v>1</x:v>
      </x:c>
      <x:c r="L15" s="2" t="str">
        <x:f>IF(K15=1,"PASS","FAIL")</x:f>
        <x:v>PASS</x:v>
      </x:c>
    </x:row>
    <x:row r="16">
      <x:c r="C16" s="32" t="str">
        <x:v>Missing required source values</x:v>
      </x:c>
      <x:c r="D16" s="160" t="n">
        <x:f>COUNTBLANK(Assumptions!$C$8:$R$19)+COUNTBLANK(Data!$C$8:$G$151)+COUNTBLANK(Data!$C$158:$G$193)+COUNTBLANK(Data!$C$200:$H$217)+COUNTBLANK(Data!$C$224:$J$230)</x:f>
        <x:v>0</x:v>
      </x:c>
      <x:c r="E16" s="160" t="n">
        <x:v>0</x:v>
      </x:c>
      <x:c r="F16" s="32" t="str">
        <x:f>IF(ABS(D16)&lt;=E16,"PASS","FAIL")</x:f>
        <x:v>PASS</x:v>
      </x:c>
      <x:c r="G16" s="161" t="str">
        <x:v>No blanks in frozen source tables</x:v>
      </x:c>
      <x:c r="H16" s="2"/>
      <x:c r="I16" s="2"/>
      <x:c r="J16" s="157" t="n">
        <x:v>46266</x:v>
      </x:c>
      <x:c r="K16" s="2" t="n">
        <x:f>COUNTIFS(Assumptions!$D$8:$D$19,J16)</x:f>
        <x:v>1</x:v>
      </x:c>
      <x:c r="L16" s="2" t="str">
        <x:f>IF(K16=1,"PASS","FAIL")</x:f>
        <x:v>PASS</x:v>
      </x:c>
    </x:row>
    <x:row r="17">
      <x:c r="C17" s="32" t="str">
        <x:v>Twelve unique budget months</x:v>
      </x:c>
      <x:c r="D17" s="160" t="n">
        <x:f>ABS(COUNTIFS($K$8:$K$19,1)-12)</x:f>
        <x:v>0</x:v>
      </x:c>
      <x:c r="E17" s="160" t="n">
        <x:v>0</x:v>
      </x:c>
      <x:c r="F17" s="32" t="str">
        <x:f>IF(ABS(D17)&lt;=E17,"PASS","FAIL")</x:f>
        <x:v>PASS</x:v>
      </x:c>
      <x:c r="G17" s="161" t="str">
        <x:v>Each expected month occurs once</x:v>
      </x:c>
      <x:c r="H17" s="2"/>
      <x:c r="I17" s="2"/>
      <x:c r="J17" s="157" t="n">
        <x:v>46296</x:v>
      </x:c>
      <x:c r="K17" s="2" t="n">
        <x:f>COUNTIFS(Assumptions!$D$8:$D$19,J17)</x:f>
        <x:v>1</x:v>
      </x:c>
      <x:c r="L17" s="2" t="str">
        <x:f>IF(K17=1,"PASS","FAIL")</x:f>
        <x:v>PASS</x:v>
      </x:c>
    </x:row>
    <x:row r="18">
      <x:c r="C18" s="32" t="str">
        <x:v>Budget month span</x:v>
      </x:c>
      <x:c r="D18" s="160" t="n">
        <x:f>IF(AND(MIN(Assumptions!$D$8:$D$19)=DATE(2026,1,1),MAX(Assumptions!$D$8:$D$19)=DATE(2026,12,1)),0,1)</x:f>
        <x:v>0</x:v>
      </x:c>
      <x:c r="E18" s="160" t="n">
        <x:v>0</x:v>
      </x:c>
      <x:c r="F18" s="32" t="str">
        <x:f>IF(ABS(D18)&lt;=E18,"PASS","FAIL")</x:f>
        <x:v>PASS</x:v>
      </x:c>
      <x:c r="G18" s="161" t="str">
        <x:v>January through December 2026</x:v>
      </x:c>
      <x:c r="H18" s="2"/>
      <x:c r="I18" s="2"/>
      <x:c r="J18" s="157" t="n">
        <x:v>46327</x:v>
      </x:c>
      <x:c r="K18" s="2" t="n">
        <x:f>COUNTIFS(Assumptions!$D$8:$D$19,J18)</x:f>
        <x:v>1</x:v>
      </x:c>
      <x:c r="L18" s="2" t="str">
        <x:f>IF(K18=1,"PASS","FAIL")</x:f>
        <x:v>PASS</x:v>
      </x:c>
    </x:row>
    <x:row r="19">
      <x:c r="C19" s="32" t="str">
        <x:v>Rooms available</x:v>
      </x:c>
      <x:c r="D19" s="160" t="n">
        <x:f>COUNTIFS(Assumptions!$E$8:$E$19,"&lt;&gt;100")</x:f>
        <x:v>0</x:v>
      </x:c>
      <x:c r="E19" s="160" t="n">
        <x:v>0</x:v>
      </x:c>
      <x:c r="F19" s="32" t="str">
        <x:f>IF(ABS(D19)&lt;=E19,"PASS","FAIL")</x:f>
        <x:v>PASS</x:v>
      </x:c>
      <x:c r="G19" s="161" t="str">
        <x:v>100 rooms each month</x:v>
      </x:c>
      <x:c r="H19" s="2"/>
      <x:c r="I19" s="2"/>
      <x:c r="J19" s="157" t="n">
        <x:v>46357</x:v>
      </x:c>
      <x:c r="K19" s="2" t="n">
        <x:f>COUNTIFS(Assumptions!$D$8:$D$19,J19)</x:f>
        <x:v>1</x:v>
      </x:c>
      <x:c r="L19" s="2" t="str">
        <x:f>IF(K19=1,"PASS","FAIL")</x:f>
        <x:v>PASS</x:v>
      </x:c>
    </x:row>
    <x:row r="20">
      <x:c r="C20" s="32" t="str">
        <x:v>Approved distribution fee rate</x:v>
      </x:c>
      <x:c r="D20" s="160" t="n">
        <x:f>COUNTIFS(Assumptions!$M$8:$M$19,"&lt;&gt;0.04")</x:f>
        <x:v>0</x:v>
      </x:c>
      <x:c r="E20" s="160" t="n">
        <x:v>0</x:v>
      </x:c>
      <x:c r="F20" s="32" t="str">
        <x:f>IF(ABS(D20)&lt;=E20,"PASS","FAIL")</x:f>
        <x:v>PASS</x:v>
      </x:c>
      <x:c r="G20" s="161" t="str">
        <x:v>4.0% each month</x:v>
      </x:c>
      <x:c r="H20" s="2"/>
      <x:c r="I20" s="2"/>
      <x:c r="J20" s="2"/>
      <x:c r="K20" s="2"/>
      <x:c r="L20" s="2"/>
    </x:row>
    <x:row r="21">
      <x:c r="C21" s="32" t="str">
        <x:v>Duplicate budget periods</x:v>
      </x:c>
      <x:c r="D21" s="160" t="n">
        <x:f>COUNTIFS($K$8:$K$19,"&gt;1")</x:f>
        <x:v>0</x:v>
      </x:c>
      <x:c r="E21" s="160" t="n">
        <x:v>0</x:v>
      </x:c>
      <x:c r="F21" s="32" t="str">
        <x:f>IF(ABS(D21)&lt;=E21,"PASS","FAIL")</x:f>
        <x:v>PASS</x:v>
      </x:c>
      <x:c r="G21" s="161" t="str">
        <x:v>No expected month may occur more than once</x:v>
      </x:c>
      <x:c r="H21" s="2"/>
      <x:c r="I21" s="2"/>
      <x:c r="J21" s="2"/>
      <x:c r="K21" s="2"/>
      <x:c r="L21" s="2"/>
    </x:row>
    <x:row r="22">
      <x:c r="C22" s="32" t="str">
        <x:v>Missing budget periods</x:v>
      </x:c>
      <x:c r="D22" s="160" t="n">
        <x:f>COUNTIFS($K$8:$K$19,0)</x:f>
        <x:v>0</x:v>
      </x:c>
      <x:c r="E22" s="160" t="n">
        <x:v>0</x:v>
      </x:c>
      <x:c r="F22" s="32" t="str">
        <x:f>IF(ABS(D22)&lt;=E22,"PASS","FAIL")</x:f>
        <x:v>PASS</x:v>
      </x:c>
      <x:c r="G22" s="161" t="str">
        <x:v>No expected month may be absent</x:v>
      </x:c>
      <x:c r="H22" s="2"/>
      <x:c r="I22" s="2"/>
      <x:c r="J22" s="2"/>
      <x:c r="K22" s="2"/>
      <x:c r="L22" s="2"/>
    </x:row>
    <x:row r="23">
      <x:c r="C23" s="32"/>
      <x:c r="D23" s="160"/>
      <x:c r="E23" s="160"/>
      <x:c r="F23" s="32"/>
      <x:c r="G23" s="161"/>
      <x:c r="H23" s="2"/>
      <x:c r="I23" s="2"/>
      <x:c r="J23" s="2"/>
      <x:c r="K23" s="2"/>
      <x:c r="L23" s="2"/>
    </x:row>
    <x:row r="24" ht="38" customHeight="1">
      <x:c r="C24" s="162" t="str">
        <x:v>Operating model</x:v>
      </x:c>
      <x:c r="D24" s="163" t="str">
        <x:v>Measured issues / difference</x:v>
      </x:c>
      <x:c r="E24" s="163" t="str">
        <x:v>Tolerance</x:v>
      </x:c>
      <x:c r="F24" s="164" t="str">
        <x:v>Status</x:v>
      </x:c>
      <x:c r="G24" s="164" t="str">
        <x:v>Basis</x:v>
      </x:c>
      <x:c r="H24" s="2"/>
      <x:c r="I24" s="2"/>
      <x:c r="J24" s="443" t="str">
        <x:v>Month</x:v>
      </x:c>
      <x:c r="K24" s="443" t="str">
        <x:v>Retail</x:v>
      </x:c>
      <x:c r="L24" s="443" t="str">
        <x:v>Corporate</x:v>
      </x:c>
      <x:c r="M24" s="444" t="str">
        <x:v>Labor</x:v>
      </x:c>
      <x:c r="N24" s="444" t="str">
        <x:v>Room Revenue</x:v>
      </x:c>
      <x:c r="O24" s="444" t="str">
        <x:v>HK Payroll</x:v>
      </x:c>
      <x:c r="P24" s="444" t="str">
        <x:v>Guest Services</x:v>
      </x:c>
      <x:c r="Q24" s="444" t="str">
        <x:v>Distribution</x:v>
      </x:c>
      <x:c r="R24" s="444" t="str">
        <x:v>Fixed Staff</x:v>
      </x:c>
      <x:c r="S24" s="444" t="str">
        <x:v>Rent</x:v>
      </x:c>
      <x:c r="T24" s="444" t="str">
        <x:v>Overhead</x:v>
      </x:c>
      <x:c r="U24" s="444" t="str">
        <x:v>Marketing</x:v>
      </x:c>
    </x:row>
    <x:row r="25">
      <x:c r="C25" s="32" t="str">
        <x:v>Occupied room nights within capacity</x:v>
      </x:c>
      <x:c r="D25" s="160" t="n">
        <x:f>IF(Budget!D11&gt;Budget!D10,1,0)+IF(Budget!E11&gt;Budget!E10,1,0)+IF(Budget!F11&gt;Budget!F10,1,0)+IF(Budget!G11&gt;Budget!G10,1,0)+IF(Budget!H11&gt;Budget!H10,1,0)+IF(Budget!I11&gt;Budget!I10,1,0)+IF(Budget!J11&gt;Budget!J10,1,0)+IF(Budget!K11&gt;Budget!K10,1,0)+IF(Budget!L11&gt;Budget!L10,1,0)+IF(Budget!M11&gt;Budget!M10,1,0)+IF(Budget!N11&gt;Budget!N10,1,0)+IF(Budget!O11&gt;Budget!O10,1,0)</x:f>
        <x:v>0</x:v>
      </x:c>
      <x:c r="E25" s="160" t="n">
        <x:v>0</x:v>
      </x:c>
      <x:c r="F25" s="32" t="str">
        <x:f>IF(ABS(D25)&lt;=E25,"PASS","FAIL")</x:f>
        <x:v>PASS</x:v>
      </x:c>
      <x:c r="G25" s="161" t="str">
        <x:v>Monthly issue count</x:v>
      </x:c>
      <x:c r="H25" s="2"/>
      <x:c r="I25" s="2"/>
      <x:c r="J25" s="299" t="n">
        <x:v>46023</x:v>
      </x:c>
      <x:c r="K25" s="300" t="n">
        <x:f>COUNTIFS(Data!$D$158:$D$193,$J25,Data!$E$158:$E$193,"Retail/Leisure")</x:f>
        <x:v>1</x:v>
      </x:c>
      <x:c r="L25" s="300" t="n">
        <x:f>COUNTIFS(Data!$D$158:$D$193,$J25,Data!$E$158:$E$193,"Negotiated Corporate")</x:f>
        <x:v>1</x:v>
      </x:c>
      <x:c r="M25" s="301" t="n">
        <x:f>COUNTIFS(Data!$D$200:$D$217,$J25)</x:f>
        <x:v>1</x:v>
      </x:c>
      <x:c r="N25" s="301" t="n">
        <x:f>COUNTIFS(Data!$D$8:$D$151,$J25,Data!$F$8:$F$151,"Room Revenue")</x:f>
        <x:v>1</x:v>
      </x:c>
      <x:c r="O25" s="301" t="n">
        <x:f>COUNTIFS(Data!$D$8:$D$151,$J25,Data!$F$8:$F$151,"Housekeeping Payroll")</x:f>
        <x:v>1</x:v>
      </x:c>
      <x:c r="P25" s="301" t="n">
        <x:f>COUNTIFS(Data!$D$8:$D$151,$J25,Data!$F$8:$F$151,"Guest Services")</x:f>
        <x:v>1</x:v>
      </x:c>
      <x:c r="Q25" s="301" t="n">
        <x:f>COUNTIFS(Data!$D$8:$D$151,$J25,Data!$F$8:$F$151,"Distribution and Payment")</x:f>
        <x:v>1</x:v>
      </x:c>
      <x:c r="R25" s="301" t="n">
        <x:f>COUNTIFS(Data!$D$8:$D$151,$J25,Data!$F$8:$F$151,"Fixed Staff Payroll")</x:f>
        <x:v>1</x:v>
      </x:c>
      <x:c r="S25" s="301" t="n">
        <x:f>COUNTIFS(Data!$D$8:$D$151,$J25,Data!$F$8:$F$151,"Rent")</x:f>
        <x:v>1</x:v>
      </x:c>
      <x:c r="T25" s="301" t="n">
        <x:f>COUNTIFS(Data!$D$8:$D$151,$J25,Data!$F$8:$F$151,"Property Overhead")</x:f>
        <x:v>1</x:v>
      </x:c>
      <x:c r="U25" s="301" t="n">
        <x:f>COUNTIFS(Data!$D$8:$D$151,$J25,Data!$F$8:$F$151,"Marketing")</x:f>
        <x:v>1</x:v>
      </x:c>
    </x:row>
    <x:row r="26">
      <x:c r="C26" s="32" t="str">
        <x:v>Occupancy between 0% and 100%</x:v>
      </x:c>
      <x:c r="D26" s="160" t="n">
        <x:f>COUNTIFS(Budget!$D$12:$O$12,"&lt;0")+COUNTIFS(Budget!$D$12:$O$12,"&gt;1")</x:f>
        <x:v>0</x:v>
      </x:c>
      <x:c r="E26" s="160" t="n">
        <x:v>0</x:v>
      </x:c>
      <x:c r="F26" s="32" t="str">
        <x:f>IF(ABS(D26)&lt;=E26,"PASS","FAIL")</x:f>
        <x:v>PASS</x:v>
      </x:c>
      <x:c r="G26" s="161" t="str">
        <x:v>Monthly issue count</x:v>
      </x:c>
      <x:c r="H26" s="2"/>
      <x:c r="I26" s="2"/>
      <x:c r="J26" s="299" t="n">
        <x:v>46054</x:v>
      </x:c>
      <x:c r="K26" s="300" t="n">
        <x:f>COUNTIFS(Data!$D$158:$D$193,$J26,Data!$E$158:$E$193,"Retail/Leisure")</x:f>
        <x:v>1</x:v>
      </x:c>
      <x:c r="L26" s="300" t="n">
        <x:f>COUNTIFS(Data!$D$158:$D$193,$J26,Data!$E$158:$E$193,"Negotiated Corporate")</x:f>
        <x:v>1</x:v>
      </x:c>
      <x:c r="M26" s="301" t="n">
        <x:f>COUNTIFS(Data!$D$200:$D$217,$J26)</x:f>
        <x:v>1</x:v>
      </x:c>
      <x:c r="N26" s="301" t="n">
        <x:f>COUNTIFS(Data!$D$8:$D$151,$J26,Data!$F$8:$F$151,"Room Revenue")</x:f>
        <x:v>1</x:v>
      </x:c>
      <x:c r="O26" s="301" t="n">
        <x:f>COUNTIFS(Data!$D$8:$D$151,$J26,Data!$F$8:$F$151,"Housekeeping Payroll")</x:f>
        <x:v>1</x:v>
      </x:c>
      <x:c r="P26" s="301" t="n">
        <x:f>COUNTIFS(Data!$D$8:$D$151,$J26,Data!$F$8:$F$151,"Guest Services")</x:f>
        <x:v>1</x:v>
      </x:c>
      <x:c r="Q26" s="301" t="n">
        <x:f>COUNTIFS(Data!$D$8:$D$151,$J26,Data!$F$8:$F$151,"Distribution and Payment")</x:f>
        <x:v>1</x:v>
      </x:c>
      <x:c r="R26" s="301" t="n">
        <x:f>COUNTIFS(Data!$D$8:$D$151,$J26,Data!$F$8:$F$151,"Fixed Staff Payroll")</x:f>
        <x:v>1</x:v>
      </x:c>
      <x:c r="S26" s="301" t="n">
        <x:f>COUNTIFS(Data!$D$8:$D$151,$J26,Data!$F$8:$F$151,"Rent")</x:f>
        <x:v>1</x:v>
      </x:c>
      <x:c r="T26" s="301" t="n">
        <x:f>COUNTIFS(Data!$D$8:$D$151,$J26,Data!$F$8:$F$151,"Property Overhead")</x:f>
        <x:v>1</x:v>
      </x:c>
      <x:c r="U26" s="301" t="n">
        <x:f>COUNTIFS(Data!$D$8:$D$151,$J26,Data!$F$8:$F$151,"Marketing")</x:f>
        <x:v>1</x:v>
      </x:c>
    </x:row>
    <x:row r="27">
      <x:c r="C27" s="32" t="str">
        <x:v>Corporate share between 0% and 100%</x:v>
      </x:c>
      <x:c r="D27" s="160" t="n">
        <x:f>COUNTIFS(Budget!$D$13:$O$13,"&lt;0")+COUNTIFS(Budget!$D$13:$O$13,"&gt;1")</x:f>
        <x:v>0</x:v>
      </x:c>
      <x:c r="E27" s="160" t="n">
        <x:v>0</x:v>
      </x:c>
      <x:c r="F27" s="32" t="str">
        <x:f>IF(ABS(D27)&lt;=E27,"PASS","FAIL")</x:f>
        <x:v>PASS</x:v>
      </x:c>
      <x:c r="G27" s="161" t="str">
        <x:v>Monthly issue count</x:v>
      </x:c>
      <x:c r="H27" s="2"/>
      <x:c r="I27" s="2"/>
      <x:c r="J27" s="299" t="n">
        <x:v>46082</x:v>
      </x:c>
      <x:c r="K27" s="300" t="n">
        <x:f>COUNTIFS(Data!$D$158:$D$193,$J27,Data!$E$158:$E$193,"Retail/Leisure")</x:f>
        <x:v>1</x:v>
      </x:c>
      <x:c r="L27" s="300" t="n">
        <x:f>COUNTIFS(Data!$D$158:$D$193,$J27,Data!$E$158:$E$193,"Negotiated Corporate")</x:f>
        <x:v>1</x:v>
      </x:c>
      <x:c r="M27" s="301" t="n">
        <x:f>COUNTIFS(Data!$D$200:$D$217,$J27)</x:f>
        <x:v>1</x:v>
      </x:c>
      <x:c r="N27" s="301" t="n">
        <x:f>COUNTIFS(Data!$D$8:$D$151,$J27,Data!$F$8:$F$151,"Room Revenue")</x:f>
        <x:v>1</x:v>
      </x:c>
      <x:c r="O27" s="301" t="n">
        <x:f>COUNTIFS(Data!$D$8:$D$151,$J27,Data!$F$8:$F$151,"Housekeeping Payroll")</x:f>
        <x:v>1</x:v>
      </x:c>
      <x:c r="P27" s="301" t="n">
        <x:f>COUNTIFS(Data!$D$8:$D$151,$J27,Data!$F$8:$F$151,"Guest Services")</x:f>
        <x:v>1</x:v>
      </x:c>
      <x:c r="Q27" s="301" t="n">
        <x:f>COUNTIFS(Data!$D$8:$D$151,$J27,Data!$F$8:$F$151,"Distribution and Payment")</x:f>
        <x:v>1</x:v>
      </x:c>
      <x:c r="R27" s="301" t="n">
        <x:f>COUNTIFS(Data!$D$8:$D$151,$J27,Data!$F$8:$F$151,"Fixed Staff Payroll")</x:f>
        <x:v>1</x:v>
      </x:c>
      <x:c r="S27" s="301" t="n">
        <x:f>COUNTIFS(Data!$D$8:$D$151,$J27,Data!$F$8:$F$151,"Rent")</x:f>
        <x:v>1</x:v>
      </x:c>
      <x:c r="T27" s="301" t="n">
        <x:f>COUNTIFS(Data!$D$8:$D$151,$J27,Data!$F$8:$F$151,"Property Overhead")</x:f>
        <x:v>1</x:v>
      </x:c>
      <x:c r="U27" s="301" t="n">
        <x:f>COUNTIFS(Data!$D$8:$D$151,$J27,Data!$F$8:$F$151,"Marketing")</x:f>
        <x:v>1</x:v>
      </x:c>
    </x:row>
    <x:row r="28">
      <x:c r="C28" s="32" t="str">
        <x:v>Segment room nights reconcile</x:v>
      </x:c>
      <x:c r="D28" s="160" t="n">
        <x:f>MAX(ABS(Budget!D14+Budget!D15-Budget!D11),ABS(Budget!E14+Budget!E15-Budget!E11),ABS(Budget!F14+Budget!F15-Budget!F11),ABS(Budget!G14+Budget!G15-Budget!G11),ABS(Budget!H14+Budget!H15-Budget!H11),ABS(Budget!I14+Budget!I15-Budget!I11),ABS(Budget!J14+Budget!J15-Budget!J11),ABS(Budget!K14+Budget!K15-Budget!K11),ABS(Budget!L14+Budget!L15-Budget!L11),ABS(Budget!M14+Budget!M15-Budget!M11),ABS(Budget!N14+Budget!N15-Budget!N11),ABS(Budget!O14+Budget!O15-Budget!O11))</x:f>
        <x:v>0</x:v>
      </x:c>
      <x:c r="E28" s="160" t="n">
        <x:v>0.000001</x:v>
      </x:c>
      <x:c r="F28" s="32" t="str">
        <x:f>IF(ABS(D28)&lt;=E28,"PASS","FAIL")</x:f>
        <x:v>PASS</x:v>
      </x:c>
      <x:c r="G28" s="161" t="str">
        <x:v>Maximum absolute difference</x:v>
      </x:c>
      <x:c r="H28" s="2"/>
      <x:c r="I28" s="2"/>
      <x:c r="J28" s="299" t="n">
        <x:v>46113</x:v>
      </x:c>
      <x:c r="K28" s="300" t="n">
        <x:f>COUNTIFS(Data!$D$158:$D$193,$J28,Data!$E$158:$E$193,"Retail/Leisure")</x:f>
        <x:v>1</x:v>
      </x:c>
      <x:c r="L28" s="300" t="n">
        <x:f>COUNTIFS(Data!$D$158:$D$193,$J28,Data!$E$158:$E$193,"Negotiated Corporate")</x:f>
        <x:v>1</x:v>
      </x:c>
      <x:c r="M28" s="301" t="n">
        <x:f>COUNTIFS(Data!$D$200:$D$217,$J28)</x:f>
        <x:v>1</x:v>
      </x:c>
      <x:c r="N28" s="301" t="n">
        <x:f>COUNTIFS(Data!$D$8:$D$151,$J28,Data!$F$8:$F$151,"Room Revenue")</x:f>
        <x:v>1</x:v>
      </x:c>
      <x:c r="O28" s="301" t="n">
        <x:f>COUNTIFS(Data!$D$8:$D$151,$J28,Data!$F$8:$F$151,"Housekeeping Payroll")</x:f>
        <x:v>1</x:v>
      </x:c>
      <x:c r="P28" s="301" t="n">
        <x:f>COUNTIFS(Data!$D$8:$D$151,$J28,Data!$F$8:$F$151,"Guest Services")</x:f>
        <x:v>1</x:v>
      </x:c>
      <x:c r="Q28" s="301" t="n">
        <x:f>COUNTIFS(Data!$D$8:$D$151,$J28,Data!$F$8:$F$151,"Distribution and Payment")</x:f>
        <x:v>1</x:v>
      </x:c>
      <x:c r="R28" s="301" t="n">
        <x:f>COUNTIFS(Data!$D$8:$D$151,$J28,Data!$F$8:$F$151,"Fixed Staff Payroll")</x:f>
        <x:v>1</x:v>
      </x:c>
      <x:c r="S28" s="301" t="n">
        <x:f>COUNTIFS(Data!$D$8:$D$151,$J28,Data!$F$8:$F$151,"Rent")</x:f>
        <x:v>1</x:v>
      </x:c>
      <x:c r="T28" s="301" t="n">
        <x:f>COUNTIFS(Data!$D$8:$D$151,$J28,Data!$F$8:$F$151,"Property Overhead")</x:f>
        <x:v>1</x:v>
      </x:c>
      <x:c r="U28" s="301" t="n">
        <x:f>COUNTIFS(Data!$D$8:$D$151,$J28,Data!$F$8:$F$151,"Marketing")</x:f>
        <x:v>1</x:v>
      </x:c>
    </x:row>
    <x:row r="29">
      <x:c r="C29" s="32" t="str">
        <x:v>No negative room nights</x:v>
      </x:c>
      <x:c r="D29" s="160" t="n">
        <x:f>COUNTIFS(Budget!$D$11:$O$11,"&lt;0")+COUNTIFS(Budget!$D$14:$O$14,"&lt;0")+COUNTIFS(Budget!$D$15:$O$15,"&lt;0")</x:f>
        <x:v>0</x:v>
      </x:c>
      <x:c r="E29" s="160" t="n">
        <x:v>0</x:v>
      </x:c>
      <x:c r="F29" s="32" t="str">
        <x:f>IF(ABS(D29)&lt;=E29,"PASS","FAIL")</x:f>
        <x:v>PASS</x:v>
      </x:c>
      <x:c r="G29" s="161" t="str">
        <x:v>Monthly issue count</x:v>
      </x:c>
      <x:c r="H29" s="2"/>
      <x:c r="I29" s="2"/>
      <x:c r="J29" s="299" t="n">
        <x:v>46143</x:v>
      </x:c>
      <x:c r="K29" s="300" t="n">
        <x:f>COUNTIFS(Data!$D$158:$D$193,$J29,Data!$E$158:$E$193,"Retail/Leisure")</x:f>
        <x:v>1</x:v>
      </x:c>
      <x:c r="L29" s="300" t="n">
        <x:f>COUNTIFS(Data!$D$158:$D$193,$J29,Data!$E$158:$E$193,"Negotiated Corporate")</x:f>
        <x:v>1</x:v>
      </x:c>
      <x:c r="M29" s="301" t="n">
        <x:f>COUNTIFS(Data!$D$200:$D$217,$J29)</x:f>
        <x:v>1</x:v>
      </x:c>
      <x:c r="N29" s="301" t="n">
        <x:f>COUNTIFS(Data!$D$8:$D$151,$J29,Data!$F$8:$F$151,"Room Revenue")</x:f>
        <x:v>1</x:v>
      </x:c>
      <x:c r="O29" s="301" t="n">
        <x:f>COUNTIFS(Data!$D$8:$D$151,$J29,Data!$F$8:$F$151,"Housekeeping Payroll")</x:f>
        <x:v>1</x:v>
      </x:c>
      <x:c r="P29" s="301" t="n">
        <x:f>COUNTIFS(Data!$D$8:$D$151,$J29,Data!$F$8:$F$151,"Guest Services")</x:f>
        <x:v>1</x:v>
      </x:c>
      <x:c r="Q29" s="301" t="n">
        <x:f>COUNTIFS(Data!$D$8:$D$151,$J29,Data!$F$8:$F$151,"Distribution and Payment")</x:f>
        <x:v>1</x:v>
      </x:c>
      <x:c r="R29" s="301" t="n">
        <x:f>COUNTIFS(Data!$D$8:$D$151,$J29,Data!$F$8:$F$151,"Fixed Staff Payroll")</x:f>
        <x:v>1</x:v>
      </x:c>
      <x:c r="S29" s="301" t="n">
        <x:f>COUNTIFS(Data!$D$8:$D$151,$J29,Data!$F$8:$F$151,"Rent")</x:f>
        <x:v>1</x:v>
      </x:c>
      <x:c r="T29" s="301" t="n">
        <x:f>COUNTIFS(Data!$D$8:$D$151,$J29,Data!$F$8:$F$151,"Property Overhead")</x:f>
        <x:v>1</x:v>
      </x:c>
      <x:c r="U29" s="301" t="n">
        <x:f>COUNTIFS(Data!$D$8:$D$151,$J29,Data!$F$8:$F$151,"Marketing")</x:f>
        <x:v>1</x:v>
      </x:c>
    </x:row>
    <x:row r="30">
      <x:c r="C30" s="32" t="str">
        <x:v>Segment revenue reconciles</x:v>
      </x:c>
      <x:c r="D30" s="160" t="n">
        <x:f>MAX(ABS(Budget!D21+Budget!D22-Budget!D23),ABS(Budget!E21+Budget!E22-Budget!E23),ABS(Budget!F21+Budget!F22-Budget!F23),ABS(Budget!G21+Budget!G22-Budget!G23),ABS(Budget!H21+Budget!H22-Budget!H23),ABS(Budget!I21+Budget!I22-Budget!I23),ABS(Budget!J21+Budget!J22-Budget!J23),ABS(Budget!K21+Budget!K22-Budget!K23),ABS(Budget!L21+Budget!L22-Budget!L23),ABS(Budget!M21+Budget!M22-Budget!M23),ABS(Budget!N21+Budget!N22-Budget!N23),ABS(Budget!O21+Budget!O22-Budget!O23))</x:f>
        <x:v>0</x:v>
      </x:c>
      <x:c r="E30" s="160" t="n">
        <x:v>0.01</x:v>
      </x:c>
      <x:c r="F30" s="32" t="str">
        <x:f>IF(ABS(D30)&lt;=E30,"PASS","FAIL")</x:f>
        <x:v>PASS</x:v>
      </x:c>
      <x:c r="G30" s="161" t="str">
        <x:v>Maximum absolute difference ($)</x:v>
      </x:c>
      <x:c r="H30" s="2"/>
      <x:c r="I30" s="2"/>
      <x:c r="J30" s="302" t="n">
        <x:v>46174</x:v>
      </x:c>
      <x:c r="K30" s="303" t="n">
        <x:f>COUNTIFS(Data!$D$158:$D$193,$J30,Data!$E$158:$E$193,"Retail/Leisure")</x:f>
        <x:v>1</x:v>
      </x:c>
      <x:c r="L30" s="303" t="n">
        <x:f>COUNTIFS(Data!$D$158:$D$193,$J30,Data!$E$158:$E$193,"Negotiated Corporate")</x:f>
        <x:v>1</x:v>
      </x:c>
      <x:c r="M30" s="304" t="n">
        <x:f>COUNTIFS(Data!$D$200:$D$217,$J30)</x:f>
        <x:v>1</x:v>
      </x:c>
      <x:c r="N30" s="304" t="n">
        <x:f>COUNTIFS(Data!$D$8:$D$151,$J30,Data!$F$8:$F$151,"Room Revenue")</x:f>
        <x:v>1</x:v>
      </x:c>
      <x:c r="O30" s="304" t="n">
        <x:f>COUNTIFS(Data!$D$8:$D$151,$J30,Data!$F$8:$F$151,"Housekeeping Payroll")</x:f>
        <x:v>1</x:v>
      </x:c>
      <x:c r="P30" s="304" t="n">
        <x:f>COUNTIFS(Data!$D$8:$D$151,$J30,Data!$F$8:$F$151,"Guest Services")</x:f>
        <x:v>1</x:v>
      </x:c>
      <x:c r="Q30" s="304" t="n">
        <x:f>COUNTIFS(Data!$D$8:$D$151,$J30,Data!$F$8:$F$151,"Distribution and Payment")</x:f>
        <x:v>1</x:v>
      </x:c>
      <x:c r="R30" s="304" t="n">
        <x:f>COUNTIFS(Data!$D$8:$D$151,$J30,Data!$F$8:$F$151,"Fixed Staff Payroll")</x:f>
        <x:v>1</x:v>
      </x:c>
      <x:c r="S30" s="304" t="n">
        <x:f>COUNTIFS(Data!$D$8:$D$151,$J30,Data!$F$8:$F$151,"Rent")</x:f>
        <x:v>1</x:v>
      </x:c>
      <x:c r="T30" s="304" t="n">
        <x:f>COUNTIFS(Data!$D$8:$D$151,$J30,Data!$F$8:$F$151,"Property Overhead")</x:f>
        <x:v>1</x:v>
      </x:c>
      <x:c r="U30" s="304" t="n">
        <x:f>COUNTIFS(Data!$D$8:$D$151,$J30,Data!$F$8:$F$151,"Marketing")</x:f>
        <x:v>1</x:v>
      </x:c>
    </x:row>
    <x:row r="31">
      <x:c r="C31" s="32"/>
      <x:c r="D31" s="160"/>
      <x:c r="E31" s="160"/>
      <x:c r="F31" s="32"/>
      <x:c r="G31" s="161"/>
      <x:c r="H31" s="2"/>
      <x:c r="I31" s="2"/>
      <x:c r="J31" s="2"/>
      <x:c r="K31" s="2"/>
      <x:c r="L31" s="2"/>
    </x:row>
    <x:row r="32" ht="34" customHeight="1">
      <x:c r="C32" s="162" t="str">
        <x:v>Cost model</x:v>
      </x:c>
      <x:c r="D32" s="163" t="str">
        <x:v>Measured issues / difference</x:v>
      </x:c>
      <x:c r="E32" s="163" t="str">
        <x:v>Tolerance</x:v>
      </x:c>
      <x:c r="F32" s="164" t="str">
        <x:v>Status</x:v>
      </x:c>
      <x:c r="G32" s="164" t="str">
        <x:v>Basis</x:v>
      </x:c>
      <x:c r="H32" s="2"/>
      <x:c r="I32" s="2"/>
      <x:c r="J32" s="2"/>
      <x:c r="K32" s="2"/>
      <x:c r="L32" s="2"/>
    </x:row>
    <x:row r="33">
      <x:c r="C33" s="32" t="str">
        <x:v>Housekeeping payroll</x:v>
      </x:c>
      <x:c r="D33" s="160" t="n">
        <x:f>MAX(ABS(Budget!D32-Budget!D31*Budget!D30),ABS(Budget!E32-Budget!E31*Budget!E30),ABS(Budget!F32-Budget!F31*Budget!F30),ABS(Budget!G32-Budget!G31*Budget!G30),ABS(Budget!H32-Budget!H31*Budget!H30),ABS(Budget!I32-Budget!I31*Budget!I30),ABS(Budget!J32-Budget!J31*Budget!J30),ABS(Budget!K32-Budget!K31*Budget!K30),ABS(Budget!L32-Budget!L31*Budget!L30),ABS(Budget!M32-Budget!M31*Budget!M30),ABS(Budget!N32-Budget!N31*Budget!N30),ABS(Budget!O32-Budget!O31*Budget!O30))</x:f>
        <x:v>0</x:v>
      </x:c>
      <x:c r="E33" s="160" t="n">
        <x:v>0.01</x:v>
      </x:c>
      <x:c r="F33" s="32" t="str">
        <x:f>IF(ABS(D33)&lt;=E33,"PASS","FAIL")</x:f>
        <x:v>PASS</x:v>
      </x:c>
      <x:c r="G33" s="161" t="str">
        <x:v>Hours × loaded wage</x:v>
      </x:c>
      <x:c r="H33" s="2"/>
      <x:c r="I33" s="2"/>
      <x:c r="J33" s="2"/>
      <x:c r="K33" s="2"/>
      <x:c r="L33" s="2"/>
    </x:row>
    <x:row r="34">
      <x:c r="C34" s="32" t="str">
        <x:v>Guest-service expense</x:v>
      </x:c>
      <x:c r="D34" s="160" t="n">
        <x:f>MAX(ABS(Budget!D34-Budget!D11*Budget!D33),ABS(Budget!E34-Budget!E11*Budget!E33),ABS(Budget!F34-Budget!F11*Budget!F33),ABS(Budget!G34-Budget!G11*Budget!G33),ABS(Budget!H34-Budget!H11*Budget!H33),ABS(Budget!I34-Budget!I11*Budget!I33),ABS(Budget!J34-Budget!J11*Budget!J33),ABS(Budget!K34-Budget!K11*Budget!K33),ABS(Budget!L34-Budget!L11*Budget!L33),ABS(Budget!M34-Budget!M11*Budget!M33),ABS(Budget!N34-Budget!N11*Budget!N33),ABS(Budget!O34-Budget!O11*Budget!O33))</x:f>
        <x:v>0</x:v>
      </x:c>
      <x:c r="E34" s="160" t="n">
        <x:v>0.01</x:v>
      </x:c>
      <x:c r="F34" s="32" t="str">
        <x:f>IF(ABS(D34)&lt;=E34,"PASS","FAIL")</x:f>
        <x:v>PASS</x:v>
      </x:c>
      <x:c r="G34" s="161" t="str">
        <x:v>Occupied nights × unit cost</x:v>
      </x:c>
      <x:c r="H34" s="2"/>
      <x:c r="I34" s="2"/>
      <x:c r="J34" s="2"/>
      <x:c r="K34" s="2"/>
      <x:c r="L34" s="2"/>
    </x:row>
    <x:row r="35">
      <x:c r="C35" s="32" t="str">
        <x:v>Distribution expense</x:v>
      </x:c>
      <x:c r="D35" s="160" t="n">
        <x:f>MAX(ABS(Budget!D36-Budget!D23*Budget!D35),ABS(Budget!E36-Budget!E23*Budget!E35),ABS(Budget!F36-Budget!F23*Budget!F35),ABS(Budget!G36-Budget!G23*Budget!G35),ABS(Budget!H36-Budget!H23*Budget!H35),ABS(Budget!I36-Budget!I23*Budget!I35),ABS(Budget!J36-Budget!J23*Budget!J35),ABS(Budget!K36-Budget!K23*Budget!K35),ABS(Budget!L36-Budget!L23*Budget!L35),ABS(Budget!M36-Budget!M23*Budget!M35),ABS(Budget!N36-Budget!N23*Budget!N35),ABS(Budget!O36-Budget!O23*Budget!O35))</x:f>
        <x:v>0</x:v>
      </x:c>
      <x:c r="E35" s="160" t="n">
        <x:v>0.01</x:v>
      </x:c>
      <x:c r="F35" s="32" t="str">
        <x:f>IF(ABS(D35)&lt;=E35,"PASS","FAIL")</x:f>
        <x:v>PASS</x:v>
      </x:c>
      <x:c r="G35" s="161" t="str">
        <x:v>Revenue × approved fee rate</x:v>
      </x:c>
      <x:c r="H35" s="2"/>
      <x:c r="I35" s="2"/>
      <x:c r="J35" s="2"/>
      <x:c r="K35" s="2"/>
      <x:c r="L35" s="2"/>
    </x:row>
    <x:row r="36">
      <x:c r="C36" s="32" t="str">
        <x:v>Fixed staff payroll</x:v>
      </x:c>
      <x:c r="D36" s="160" t="n">
        <x:f>MAX(ABS(Budget!D42-Budget!D40*Budget!D41),ABS(Budget!E42-Budget!E40*Budget!E41),ABS(Budget!F42-Budget!F40*Budget!F41),ABS(Budget!G42-Budget!G40*Budget!G41),ABS(Budget!H42-Budget!H40*Budget!H41),ABS(Budget!I42-Budget!I40*Budget!I41),ABS(Budget!J42-Budget!J40*Budget!J41),ABS(Budget!K42-Budget!K40*Budget!K41),ABS(Budget!L42-Budget!L40*Budget!L41),ABS(Budget!M42-Budget!M40*Budget!M41),ABS(Budget!N42-Budget!N40*Budget!N41),ABS(Budget!O42-Budget!O40*Budget!O41))</x:f>
        <x:v>0</x:v>
      </x:c>
      <x:c r="E36" s="160" t="n">
        <x:v>0.01</x:v>
      </x:c>
      <x:c r="F36" s="32" t="str">
        <x:f>IF(ABS(D36)&lt;=E36,"PASS","FAIL")</x:f>
        <x:v>PASS</x:v>
      </x:c>
      <x:c r="G36" s="161" t="str">
        <x:v>FTE × loaded cost per FTE</x:v>
      </x:c>
      <x:c r="H36" s="2"/>
      <x:c r="I36" s="2"/>
      <x:c r="J36" s="2"/>
      <x:c r="K36" s="2"/>
      <x:c r="L36" s="2"/>
    </x:row>
    <x:row r="37">
      <x:c r="C37" s="32" t="str">
        <x:v>Total operating costs</x:v>
      </x:c>
      <x:c r="D37" s="160" t="n">
        <x:f>MAX(ABS(Budget!D49-SUM(Budget!D32,Budget!D34,Budget!D36,Budget!D42:Budget!D45)),ABS(Budget!E49-SUM(Budget!E32,Budget!E34,Budget!E36,Budget!E42:Budget!E45)),ABS(Budget!F49-SUM(Budget!F32,Budget!F34,Budget!F36,Budget!F42:Budget!F45)),ABS(Budget!G49-SUM(Budget!G32,Budget!G34,Budget!G36,Budget!G42:Budget!G45)),ABS(Budget!H49-SUM(Budget!H32,Budget!H34,Budget!H36,Budget!H42:Budget!H45)),ABS(Budget!I49-SUM(Budget!I32,Budget!I34,Budget!I36,Budget!I42:Budget!I45)),ABS(Budget!J49-SUM(Budget!J32,Budget!J34,Budget!J36,Budget!J42:Budget!J45)),ABS(Budget!K49-SUM(Budget!K32,Budget!K34,Budget!K36,Budget!K42:Budget!K45)),ABS(Budget!L49-SUM(Budget!L32,Budget!L34,Budget!L36,Budget!L42:Budget!L45)),ABS(Budget!M49-SUM(Budget!M32,Budget!M34,Budget!M36,Budget!M42:Budget!M45)),ABS(Budget!N49-SUM(Budget!N32,Budget!N34,Budget!N36,Budget!N42:Budget!N45)),ABS(Budget!O49-SUM(Budget!O32,Budget!O34,Budget!O36,Budget!O42:Budget!O45)))</x:f>
        <x:v>0</x:v>
      </x:c>
      <x:c r="E37" s="160" t="n">
        <x:v>0.01</x:v>
      </x:c>
      <x:c r="F37" s="32" t="str">
        <x:f>IF(ABS(D37)&lt;=E37,"PASS","FAIL")</x:f>
        <x:v>PASS</x:v>
      </x:c>
      <x:c r="G37" s="161" t="str">
        <x:v>Required cost components</x:v>
      </x:c>
      <x:c r="H37" s="2"/>
      <x:c r="I37" s="2"/>
      <x:c r="J37" s="2"/>
      <x:c r="K37" s="2"/>
      <x:c r="L37" s="2"/>
    </x:row>
    <x:row r="38">
      <x:c r="C38" s="32" t="str">
        <x:v>Property operating contribution</x:v>
      </x:c>
      <x:c r="D38" s="160" t="n">
        <x:f>MAX(ABS(Budget!D50-(Budget!D23-Budget!D49)),ABS(Budget!E50-(Budget!E23-Budget!E49)),ABS(Budget!F50-(Budget!F23-Budget!F49)),ABS(Budget!G50-(Budget!G23-Budget!G49)),ABS(Budget!H50-(Budget!H23-Budget!H49)),ABS(Budget!I50-(Budget!I23-Budget!I49)),ABS(Budget!J50-(Budget!J23-Budget!J49)),ABS(Budget!K50-(Budget!K23-Budget!K49)),ABS(Budget!L50-(Budget!L23-Budget!L49)),ABS(Budget!M50-(Budget!M23-Budget!M49)),ABS(Budget!N50-(Budget!N23-Budget!N49)),ABS(Budget!O50-(Budget!O23-Budget!O49)))</x:f>
        <x:v>0</x:v>
      </x:c>
      <x:c r="E38" s="160" t="n">
        <x:v>0.01</x:v>
      </x:c>
      <x:c r="F38" s="32" t="str">
        <x:f>IF(ABS(D38)&lt;=E38,"PASS","FAIL")</x:f>
        <x:v>PASS</x:v>
      </x:c>
      <x:c r="G38" s="161" t="str">
        <x:v>Revenue less total operating costs</x:v>
      </x:c>
      <x:c r="H38" s="2"/>
      <x:c r="I38" s="2"/>
      <x:c r="J38" s="2"/>
      <x:c r="K38" s="2"/>
      <x:c r="L38" s="2"/>
    </x:row>
    <x:row r="39">
      <x:c r="C39" s="32"/>
      <x:c r="D39" s="160"/>
      <x:c r="E39" s="160"/>
      <x:c r="F39" s="32"/>
      <x:c r="G39" s="161"/>
      <x:c r="H39" s="2"/>
      <x:c r="I39" s="2"/>
      <x:c r="J39" s="2"/>
      <x:c r="K39" s="2"/>
      <x:c r="L39" s="2"/>
    </x:row>
    <x:row r="40" ht="34" customHeight="1">
      <x:c r="C40" s="162" t="str">
        <x:v>Annual aggregation</x:v>
      </x:c>
      <x:c r="D40" s="163" t="str">
        <x:v>Measured issues / difference</x:v>
      </x:c>
      <x:c r="E40" s="163" t="str">
        <x:v>Tolerance</x:v>
      </x:c>
      <x:c r="F40" s="164" t="str">
        <x:v>Status</x:v>
      </x:c>
      <x:c r="G40" s="164" t="str">
        <x:v>Basis</x:v>
      </x:c>
      <x:c r="H40" s="2"/>
      <x:c r="I40" s="2"/>
      <x:c r="J40" s="2"/>
      <x:c r="K40" s="2"/>
      <x:c r="L40" s="2"/>
    </x:row>
    <x:row r="41">
      <x:c r="C41" s="32" t="str">
        <x:v>Monthly additive lines reconcile to FY2026</x:v>
      </x:c>
      <x:c r="D41" s="160" t="n">
        <x:f>MAX(ABS(SUM(Budget!D9:O9)-Budget!P9),ABS(SUM(Budget!D10:O10)-Budget!P10),ABS(SUM(Budget!D11:O11)-Budget!P11),ABS(SUM(Budget!D14:O14)-Budget!P14),ABS(SUM(Budget!D15:O15)-Budget!P15),ABS(SUM(Budget!D21:O21)-Budget!P21),ABS(SUM(Budget!D22:O22)-Budget!P22),ABS(SUM(Budget!D23:O23)-Budget!P23),ABS(SUM(Budget!D31:O31)-Budget!P31),ABS(SUM(Budget!D32:O32)-Budget!P32),ABS(SUM(Budget!D34:O34)-Budget!P34),ABS(SUM(Budget!D36:O36)-Budget!P36),ABS(SUM(Budget!D42:O42)-Budget!P42),ABS(SUM(Budget!D43:O43)-Budget!P43),ABS(SUM(Budget!D44:O44)-Budget!P44),ABS(SUM(Budget!D45:O45)-Budget!P45),ABS(SUM(Budget!D49:O49)-Budget!P49),ABS(SUM(Budget!D50:O50)-Budget!P50))</x:f>
        <x:v>0</x:v>
      </x:c>
      <x:c r="E41" s="160" t="n">
        <x:v>0.01</x:v>
      </x:c>
      <x:c r="F41" s="32" t="str">
        <x:f>IF(ABS(D41)&lt;=E41,"PASS","FAIL")</x:f>
        <x:v>PASS</x:v>
      </x:c>
      <x:c r="G41" s="161" t="str">
        <x:v>Maximum absolute difference</x:v>
      </x:c>
      <x:c r="H41" s="2"/>
      <x:c r="I41" s="2"/>
      <x:c r="J41" s="2"/>
      <x:c r="K41" s="2"/>
      <x:c r="L41" s="2"/>
    </x:row>
    <x:row r="42">
      <x:c r="C42" s="32" t="str">
        <x:v>Annual occupancy uses annual totals</x:v>
      </x:c>
      <x:c r="D42" s="160" t="n">
        <x:f>ABS(Budget!P12-Budget!P11/Budget!P10)</x:f>
        <x:v>0</x:v>
      </x:c>
      <x:c r="E42" s="160" t="n">
        <x:v>1e-7</x:v>
      </x:c>
      <x:c r="F42" s="32" t="str">
        <x:f>IF(ABS(D42)&lt;=E42,"PASS","FAIL")</x:f>
        <x:v>PASS</x:v>
      </x:c>
      <x:c r="G42" s="161" t="str">
        <x:v>Annual occupied nights ÷ annual available nights</x:v>
      </x:c>
      <x:c r="H42" s="2"/>
      <x:c r="I42" s="2"/>
      <x:c r="J42" s="2"/>
      <x:c r="K42" s="2"/>
      <x:c r="L42" s="2"/>
    </x:row>
    <x:row r="43">
      <x:c r="C43" s="32" t="str">
        <x:v>Annual ADR and RevPAR use annual totals</x:v>
      </x:c>
      <x:c r="D43" s="160" t="n">
        <x:f>MAX(ABS(Budget!P24-Budget!P23/Budget!P11),ABS(Budget!P25-Budget!P23/Budget!P10))</x:f>
        <x:v>0</x:v>
      </x:c>
      <x:c r="E43" s="160" t="n">
        <x:v>1e-7</x:v>
      </x:c>
      <x:c r="F43" s="32" t="str">
        <x:f>IF(ABS(D43)&lt;=E43,"PASS","FAIL")</x:f>
        <x:v>PASS</x:v>
      </x:c>
      <x:c r="G43" s="161" t="str">
        <x:v>Weighted annual metrics</x:v>
      </x:c>
      <x:c r="H43" s="2"/>
      <x:c r="I43" s="2"/>
      <x:c r="J43" s="2"/>
      <x:c r="K43" s="2"/>
      <x:c r="L43" s="2"/>
    </x:row>
    <x:row r="44">
      <x:c r="C44" s="32" t="str">
        <x:v>Annual productivity and unit costs are weighted</x:v>
      </x:c>
      <x:c r="D44" s="160" t="n">
        <x:f>MAX(ABS(Budget!P29-Budget!P31/Budget!P11),ABS(Budget!P30-Budget!P32/Budget!P31),ABS(Budget!P33-Budget!P34/Budget!P11),ABS(Budget!P35-Budget!P36/Budget!P23))</x:f>
        <x:v>0</x:v>
      </x:c>
      <x:c r="E44" s="160" t="n">
        <x:v>1e-7</x:v>
      </x:c>
      <x:c r="F44" s="32" t="str">
        <x:f>IF(ABS(D44)&lt;=E44,"PASS","FAIL")</x:f>
        <x:v>PASS</x:v>
      </x:c>
      <x:c r="G44" s="161" t="str">
        <x:v>Annual numerators ÷ annual denominators</x:v>
      </x:c>
      <x:c r="H44" s="2"/>
      <x:c r="I44" s="2"/>
      <x:c r="J44" s="2"/>
      <x:c r="K44" s="2"/>
      <x:c r="L44" s="2"/>
    </x:row>
    <x:row r="45">
      <x:c r="C45" s="32" t="str">
        <x:v>Annual contribution margin uses annual totals</x:v>
      </x:c>
      <x:c r="D45" s="160" t="n">
        <x:f>ABS(Budget!P51-Budget!P50/Budget!P23)</x:f>
        <x:v>0</x:v>
      </x:c>
      <x:c r="E45" s="160" t="n">
        <x:v>1e-7</x:v>
      </x:c>
      <x:c r="F45" s="32" t="str">
        <x:f>IF(ABS(D45)&lt;=E45,"PASS","FAIL")</x:f>
        <x:v>PASS</x:v>
      </x:c>
      <x:c r="G45" s="161" t="str">
        <x:v>Annual contribution ÷ annual revenue</x:v>
      </x:c>
      <x:c r="H45" s="2"/>
      <x:c r="I45" s="2"/>
      <x:c r="J45" s="2"/>
      <x:c r="K45" s="2"/>
      <x:c r="L45" s="2"/>
    </x:row>
    <x:row r="46">
      <x:c r="C46" s="32"/>
      <x:c r="D46" s="160"/>
      <x:c r="E46" s="160"/>
      <x:c r="F46" s="32"/>
      <x:c r="G46" s="161"/>
      <x:c r="H46" s="2"/>
      <x:c r="I46" s="2"/>
      <x:c r="J46" s="2"/>
      <x:c r="K46" s="2"/>
      <x:c r="L46" s="2"/>
    </x:row>
    <x:row r="47" ht="34" customHeight="1">
      <x:c r="C47" s="162" t="str">
        <x:v>Workbook integrity</x:v>
      </x:c>
      <x:c r="D47" s="163" t="str">
        <x:v>Measured issues / difference</x:v>
      </x:c>
      <x:c r="E47" s="163" t="str">
        <x:v>Tolerance</x:v>
      </x:c>
      <x:c r="F47" s="164" t="str">
        <x:v>Status</x:v>
      </x:c>
      <x:c r="G47" s="164" t="str">
        <x:v>Basis</x:v>
      </x:c>
      <x:c r="H47" s="2"/>
      <x:c r="I47" s="2"/>
      <x:c r="J47" s="2"/>
      <x:c r="K47" s="2"/>
      <x:c r="L47" s="2"/>
    </x:row>
    <x:row r="48">
      <x:c r="C48" s="32" t="str">
        <x:v>Required worksheets exist</x:v>
      </x:c>
      <x:c r="D48" s="160" t="n">
        <x:f>IF(AND(Start!$C$2&lt;&gt;"",Data!$C$2&lt;&gt;"",Assumptions!$C$2&lt;&gt;"",Budget!$C$2&lt;&gt;"",Forecast!$C$2&lt;&gt;"",Variance!$C$2&lt;&gt;"",Review!$C$2&lt;&gt;"",Checks!$C$2&lt;&gt;""),0,1)</x:f>
        <x:v>0</x:v>
      </x:c>
      <x:c r="E48" s="160" t="n">
        <x:v>0</x:v>
      </x:c>
      <x:c r="F48" s="32" t="str">
        <x:f>IF(ABS(D48)&lt;=E48,"PASS","FAIL")</x:f>
        <x:v>PASS</x:v>
      </x:c>
      <x:c r="G48" s="161" t="str">
        <x:v>Eight required visible worksheets</x:v>
      </x:c>
      <x:c r="H48" s="2"/>
      <x:c r="I48" s="2"/>
      <x:c r="J48" s="2"/>
      <x:c r="K48" s="2"/>
      <x:c r="L48" s="2"/>
    </x:row>
    <x:row r="49">
      <x:c r="C49" s="32" t="str">
        <x:v>Formula errors</x:v>
      </x:c>
      <x:c r="D49" s="160" t="n">
        <x:v>0</x:v>
      </x:c>
      <x:c r="E49" s="160" t="n">
        <x:v>0</x:v>
      </x:c>
      <x:c r="F49" s="32" t="str">
        <x:f>IF(ABS(D49)&lt;=E49,"PASS","FAIL")</x:f>
        <x:v>PASS</x:v>
      </x:c>
      <x:c r="G49" s="161" t="str">
        <x:v>Verified after final recalculation</x:v>
      </x:c>
      <x:c r="H49" s="2"/>
      <x:c r="I49" s="2"/>
      <x:c r="J49" s="2"/>
      <x:c r="K49" s="2"/>
      <x:c r="L49" s="2"/>
    </x:row>
    <x:row r="50">
      <x:c r="C50" s="32" t="str">
        <x:v>External workbook links</x:v>
      </x:c>
      <x:c r="D50" s="160" t="n">
        <x:v>0</x:v>
      </x:c>
      <x:c r="E50" s="160" t="n">
        <x:v>0</x:v>
      </x:c>
      <x:c r="F50" s="32" t="str">
        <x:f>IF(ABS(D50)&lt;=E50,"PASS","FAIL")</x:f>
        <x:v>PASS</x:v>
      </x:c>
      <x:c r="G50" s="161" t="str">
        <x:v>Verified by final package audit</x:v>
      </x:c>
      <x:c r="H50" s="2"/>
      <x:c r="I50" s="2"/>
      <x:c r="J50" s="2"/>
      <x:c r="K50" s="2"/>
      <x:c r="L50" s="2"/>
    </x:row>
    <x:row r="51">
      <x:c r="C51" s="32" t="str">
        <x:v>Hidden worksheets</x:v>
      </x:c>
      <x:c r="D51" s="160" t="n">
        <x:v>0</x:v>
      </x:c>
      <x:c r="E51" s="160" t="n">
        <x:v>0</x:v>
      </x:c>
      <x:c r="F51" s="32" t="str">
        <x:f>IF(ABS(D51)&lt;=E51,"PASS","FAIL")</x:f>
        <x:v>PASS</x:v>
      </x:c>
      <x:c r="G51" s="161" t="str">
        <x:v>Verified by final package audit</x:v>
      </x:c>
      <x:c r="H51" s="2"/>
      <x:c r="I51" s="2"/>
      <x:c r="J51" s="2"/>
      <x:c r="K51" s="2"/>
      <x:c r="L51" s="2"/>
    </x:row>
    <x:row r="52">
      <x:c r="C52" s="32" t="str">
        <x:v>Macros</x:v>
      </x:c>
      <x:c r="D52" s="160" t="n">
        <x:v>0</x:v>
      </x:c>
      <x:c r="E52" s="160" t="n">
        <x:v>0</x:v>
      </x:c>
      <x:c r="F52" s="32" t="str">
        <x:f>IF(ABS(D52)&lt;=E52,"PASS","FAIL")</x:f>
        <x:v>PASS</x:v>
      </x:c>
      <x:c r="G52" s="161" t="str">
        <x:v>Verified by final package audit</x:v>
      </x:c>
      <x:c r="H52" s="2"/>
      <x:c r="I52" s="2"/>
      <x:c r="J52" s="2"/>
      <x:c r="K52" s="2"/>
      <x:c r="L52" s="2"/>
    </x:row>
    <x:row r="53">
      <x:c r="C53" s="32" t="str">
        <x:v>Circular iteration</x:v>
      </x:c>
      <x:c r="D53" s="160" t="n">
        <x:v>0</x:v>
      </x:c>
      <x:c r="E53" s="160" t="n">
        <x:v>0</x:v>
      </x:c>
      <x:c r="F53" s="32" t="str">
        <x:f>IF(ABS(D53)&lt;=E53,"PASS","FAIL")</x:f>
        <x:v>PASS</x:v>
      </x:c>
      <x:c r="G53" s="161" t="str">
        <x:v>Verified by final package audit</x:v>
      </x:c>
      <x:c r="H53" s="2"/>
      <x:c r="I53" s="2"/>
      <x:c r="J53" s="2"/>
      <x:c r="K53" s="2"/>
      <x:c r="L53" s="2"/>
    </x:row>
    <x:row r="54">
      <x:c r="C54" s="32" t="str">
        <x:v>Volatile formulas</x:v>
      </x:c>
      <x:c r="D54" s="160" t="n">
        <x:v>0</x:v>
      </x:c>
      <x:c r="E54" s="160" t="n">
        <x:v>0</x:v>
      </x:c>
      <x:c r="F54" s="32" t="str">
        <x:f>IF(ABS(D54)&lt;=E54,"PASS","FAIL")</x:f>
        <x:v>PASS</x:v>
      </x:c>
      <x:c r="G54" s="161" t="str">
        <x:v>Verified by final formula audit</x:v>
      </x:c>
      <x:c r="H54" s="2"/>
      <x:c r="I54" s="2"/>
      <x:c r="J54" s="2"/>
      <x:c r="K54" s="2"/>
      <x:c r="L54" s="2"/>
    </x:row>
    <x:row r="55">
      <x:c r="C55" s="32" t="str">
        <x:v>Formulas outside Checks referencing Checks</x:v>
      </x:c>
      <x:c r="D55" s="160" t="n">
        <x:v>0</x:v>
      </x:c>
      <x:c r="E55" s="160" t="n">
        <x:v>0</x:v>
      </x:c>
      <x:c r="F55" s="32" t="str">
        <x:f>IF(ABS(D55)&lt;=E55,"PASS","FAIL")</x:f>
        <x:v>PASS</x:v>
      </x:c>
      <x:c r="G55" s="161" t="str">
        <x:v>Verified by final formula audit</x:v>
      </x:c>
      <x:c r="H55" s="2"/>
      <x:c r="I55" s="2"/>
      <x:c r="J55" s="2"/>
      <x:c r="K55" s="2"/>
      <x:c r="L55" s="2"/>
    </x:row>
    <x:row r="56">
      <x:c r="C56" s="165" t="str">
        <x:v>Budget references to actuals or later-phase tabs</x:v>
      </x:c>
      <x:c r="D56" s="166" t="n">
        <x:v>0</x:v>
      </x:c>
      <x:c r="E56" s="166" t="n">
        <x:v>0</x:v>
      </x:c>
      <x:c r="F56" s="165" t="str">
        <x:f>IF(ABS(D56)&lt;=E56,"PASS","FAIL")</x:f>
        <x:v>PASS</x:v>
      </x:c>
      <x:c r="G56" s="167" t="str">
        <x:v>Verified by final formula audit</x:v>
      </x:c>
      <x:c r="H56" s="2"/>
      <x:c r="I56" s="2"/>
      <x:c r="J56" s="2"/>
      <x:c r="K56" s="2"/>
      <x:c r="L56" s="2"/>
    </x:row>
    <x:row r="58" ht="22" customHeight="1">
      <x:c r="C58" s="285" t="str">
        <x:v>Phase 2 controls retained above. Phase 3 controls follow.</x:v>
      </x:c>
      <x:c r="D58" s="285"/>
      <x:c r="E58" s="285"/>
      <x:c r="F58" s="285"/>
      <x:c r="G58" s="285"/>
    </x:row>
    <x:row r="59" ht="28" customHeight="1">
      <x:c r="C59" s="448" t="str">
        <x:v>Period and source scope</x:v>
      </x:c>
      <x:c r="D59" s="449" t="str">
        <x:v>Measured issues / difference</x:v>
      </x:c>
      <x:c r="E59" s="449" t="str">
        <x:v>Tolerance</x:v>
      </x:c>
      <x:c r="F59" s="449" t="str">
        <x:v>Status</x:v>
      </x:c>
      <x:c r="G59" s="450" t="str">
        <x:v>Basis</x:v>
      </x:c>
      <x:c r="H59" s="170"/>
      <x:c r="I59" s="170"/>
      <x:c r="J59" s="170"/>
      <x:c r="K59" s="170"/>
      <x:c r="L59" s="170"/>
      <x:c r="M59" s="170"/>
      <x:c r="N59" s="170"/>
      <x:c r="O59" s="170"/>
      <x:c r="P59" s="170"/>
      <x:c r="Q59" s="170"/>
      <x:c r="R59" s="170"/>
      <x:c r="S59" s="170"/>
      <x:c r="T59" s="170"/>
      <x:c r="U59" s="170"/>
    </x:row>
    <x:row r="60">
      <x:c r="C60" s="311" t="str">
        <x:v>Current actual scope is January–June 2026</x:v>
      </x:c>
      <x:c r="D60" s="312" t="n">
        <x:f>ABS(COUNTIFS(Data!$D$158:$D$193,"&gt;="&amp;DATE(2026,1,1),Data!$D$158:$D$193,"&lt;="&amp;DATE(2026,6,1))-12)</x:f>
        <x:v>0</x:v>
      </x:c>
      <x:c r="E60" s="312" t="n">
        <x:v>0</x:v>
      </x:c>
      <x:c r="F60" s="311" t="str">
        <x:f>IF(ABS(D60)&lt;=E60,"PASS","FAIL")</x:f>
        <x:v>PASS</x:v>
      </x:c>
      <x:c r="G60" s="311" t="str">
        <x:v>Twelve segment-month records across six months</x:v>
      </x:c>
      <x:c r="H60" s="170"/>
      <x:c r="I60" s="170"/>
      <x:c r="J60" s="170"/>
      <x:c r="K60" s="170"/>
      <x:c r="L60" s="170"/>
      <x:c r="M60" s="170"/>
      <x:c r="N60" s="170"/>
      <x:c r="O60" s="170"/>
      <x:c r="P60" s="170"/>
      <x:c r="Q60" s="170"/>
      <x:c r="R60" s="170"/>
      <x:c r="S60" s="170"/>
      <x:c r="T60" s="170"/>
      <x:c r="U60" s="170"/>
    </x:row>
    <x:row r="61">
      <x:c r="C61" s="311" t="str">
        <x:v>Prior-year scope is January–June 2025</x:v>
      </x:c>
      <x:c r="D61" s="312" t="n">
        <x:f>ABS(COUNTIFS(Data!$D$158:$D$193,"&gt;="&amp;DATE(2025,1,1),Data!$D$158:$D$193,"&lt;="&amp;DATE(2025,6,1))-12)</x:f>
        <x:v>0</x:v>
      </x:c>
      <x:c r="E61" s="312" t="n">
        <x:v>0</x:v>
      </x:c>
      <x:c r="F61" s="311" t="str">
        <x:f>IF(ABS(D61)&lt;=E61,"PASS","FAIL")</x:f>
        <x:v>PASS</x:v>
      </x:c>
      <x:c r="G61" s="311" t="str">
        <x:v>Twelve prior-year segment-month records</x:v>
      </x:c>
      <x:c r="H61" s="170"/>
      <x:c r="I61" s="170"/>
      <x:c r="J61" s="170"/>
      <x:c r="K61" s="170"/>
      <x:c r="L61" s="170"/>
      <x:c r="M61" s="170"/>
      <x:c r="N61" s="170"/>
      <x:c r="O61" s="170"/>
      <x:c r="P61" s="170"/>
      <x:c r="Q61" s="170"/>
      <x:c r="R61" s="170"/>
      <x:c r="S61" s="170"/>
      <x:c r="T61" s="170"/>
      <x:c r="U61" s="170"/>
    </x:row>
    <x:row r="62">
      <x:c r="C62" s="311" t="str">
        <x:v>No July–December 2026 actual is included</x:v>
      </x:c>
      <x:c r="D62" s="312" t="n">
        <x:f>COUNTIFS(Data!$D$158:$D$193,"&gt;="&amp;DATE(2026,7,1),Data!$D$158:$D$193,"&lt;="&amp;DATE(2026,12,1))+COUNTIFS(Data!$D$200:$D$217,"&gt;="&amp;DATE(2026,7,1),Data!$D$200:$D$217,"&lt;="&amp;DATE(2026,12,1))+COUNTIFS(Data!$D$8:$D$151,"&gt;="&amp;DATE(2026,7,1),Data!$D$8:$D$151,"&lt;="&amp;DATE(2026,12,1))</x:f>
        <x:v>0</x:v>
      </x:c>
      <x:c r="E62" s="312" t="n">
        <x:v>0</x:v>
      </x:c>
      <x:c r="F62" s="311" t="str">
        <x:f>IF(ABS(D62)&lt;=E62,"PASS","FAIL")</x:f>
        <x:v>PASS</x:v>
      </x:c>
      <x:c r="G62" s="311" t="str">
        <x:v>No source actual after June 2026</x:v>
      </x:c>
      <x:c r="H62" s="170"/>
      <x:c r="I62" s="170"/>
      <x:c r="J62" s="170"/>
      <x:c r="K62" s="170"/>
      <x:c r="L62" s="170"/>
      <x:c r="M62" s="170"/>
      <x:c r="N62" s="170"/>
      <x:c r="O62" s="170"/>
      <x:c r="P62" s="170"/>
      <x:c r="Q62" s="170"/>
      <x:c r="R62" s="170"/>
      <x:c r="S62" s="170"/>
      <x:c r="T62" s="170"/>
      <x:c r="U62" s="170"/>
    </x:row>
    <x:row r="63">
      <x:c r="C63" s="311" t="str">
        <x:v>Required segment-month records are present</x:v>
      </x:c>
      <x:c r="D63" s="312" t="n">
        <x:f>COUNTIFS(K25:L30,0)</x:f>
        <x:v>0</x:v>
      </x:c>
      <x:c r="E63" s="312" t="n">
        <x:v>0</x:v>
      </x:c>
      <x:c r="F63" s="311" t="str">
        <x:f>IF(ABS(D63)&lt;=E63,"PASS","FAIL")</x:f>
        <x:v>PASS</x:v>
      </x:c>
      <x:c r="G63" s="311" t="str">
        <x:v>Each segment occurs once per current month</x:v>
      </x:c>
      <x:c r="H63" s="170"/>
      <x:c r="I63" s="170"/>
      <x:c r="J63" s="170"/>
      <x:c r="K63" s="170"/>
      <x:c r="L63" s="170"/>
      <x:c r="M63" s="170"/>
      <x:c r="N63" s="170"/>
      <x:c r="O63" s="170"/>
      <x:c r="P63" s="170"/>
      <x:c r="Q63" s="170"/>
      <x:c r="R63" s="170"/>
      <x:c r="S63" s="170"/>
      <x:c r="T63" s="170"/>
      <x:c r="U63" s="170"/>
    </x:row>
    <x:row r="64">
      <x:c r="C64" s="311" t="str">
        <x:v>Required segment-month records are unique</x:v>
      </x:c>
      <x:c r="D64" s="312" t="n">
        <x:f>COUNTIFS(K25:L30,"&gt;1")</x:f>
        <x:v>0</x:v>
      </x:c>
      <x:c r="E64" s="312" t="n">
        <x:v>0</x:v>
      </x:c>
      <x:c r="F64" s="311" t="str">
        <x:f>IF(ABS(D64)&lt;=E64,"PASS","FAIL")</x:f>
        <x:v>PASS</x:v>
      </x:c>
      <x:c r="G64" s="311" t="str">
        <x:v>No duplicate current segment-month key</x:v>
      </x:c>
      <x:c r="H64" s="170"/>
      <x:c r="I64" s="170"/>
      <x:c r="J64" s="170"/>
      <x:c r="K64" s="170"/>
      <x:c r="L64" s="170"/>
      <x:c r="M64" s="170"/>
      <x:c r="N64" s="170"/>
      <x:c r="O64" s="170"/>
      <x:c r="P64" s="170"/>
      <x:c r="Q64" s="170"/>
      <x:c r="R64" s="170"/>
      <x:c r="S64" s="170"/>
      <x:c r="T64" s="170"/>
      <x:c r="U64" s="170"/>
    </x:row>
    <x:row r="65">
      <x:c r="C65" s="311" t="str">
        <x:v>Required financial account-month records are present</x:v>
      </x:c>
      <x:c r="D65" s="312" t="n">
        <x:f>COUNTIFS(N25:U30,0)</x:f>
        <x:v>0</x:v>
      </x:c>
      <x:c r="E65" s="312" t="n">
        <x:v>0</x:v>
      </x:c>
      <x:c r="F65" s="311" t="str">
        <x:f>IF(ABS(D65)&lt;=E65,"PASS","FAIL")</x:f>
        <x:v>PASS</x:v>
      </x:c>
      <x:c r="G65" s="311" t="str">
        <x:v>Each required account occurs once per current month</x:v>
      </x:c>
      <x:c r="H65" s="170"/>
      <x:c r="I65" s="170"/>
      <x:c r="J65" s="170"/>
      <x:c r="K65" s="170"/>
      <x:c r="L65" s="170"/>
      <x:c r="M65" s="170"/>
      <x:c r="N65" s="170"/>
      <x:c r="O65" s="170"/>
      <x:c r="P65" s="170"/>
      <x:c r="Q65" s="170"/>
      <x:c r="R65" s="170"/>
      <x:c r="S65" s="170"/>
      <x:c r="T65" s="170"/>
      <x:c r="U65" s="170"/>
    </x:row>
    <x:row r="66">
      <x:c r="C66" s="311" t="str">
        <x:v>Required financial account-month records are unique</x:v>
      </x:c>
      <x:c r="D66" s="312" t="n">
        <x:f>COUNTIFS(N25:U30,"&gt;1")</x:f>
        <x:v>0</x:v>
      </x:c>
      <x:c r="E66" s="312" t="n">
        <x:v>0</x:v>
      </x:c>
      <x:c r="F66" s="311" t="str">
        <x:f>IF(ABS(D66)&lt;=E66,"PASS","FAIL")</x:f>
        <x:v>PASS</x:v>
      </x:c>
      <x:c r="G66" s="311" t="str">
        <x:v>No duplicate current financial account-month key</x:v>
      </x:c>
      <x:c r="H66" s="170"/>
      <x:c r="I66" s="170"/>
      <x:c r="J66" s="170"/>
      <x:c r="K66" s="170"/>
      <x:c r="L66" s="170"/>
      <x:c r="M66" s="170"/>
      <x:c r="N66" s="170"/>
      <x:c r="O66" s="170"/>
      <x:c r="P66" s="170"/>
      <x:c r="Q66" s="170"/>
      <x:c r="R66" s="170"/>
      <x:c r="S66" s="170"/>
      <x:c r="T66" s="170"/>
      <x:c r="U66" s="170"/>
    </x:row>
    <x:row r="67">
      <x:c r="C67" s="311" t="str">
        <x:v>Required labor records are present</x:v>
      </x:c>
      <x:c r="D67" s="312" t="n">
        <x:f>COUNTIFS(M25:M30,0)</x:f>
        <x:v>0</x:v>
      </x:c>
      <x:c r="E67" s="312" t="n">
        <x:v>0</x:v>
      </x:c>
      <x:c r="F67" s="311" t="str">
        <x:f>IF(ABS(D67)&lt;=E67,"PASS","FAIL")</x:f>
        <x:v>PASS</x:v>
      </x:c>
      <x:c r="G67" s="311" t="str">
        <x:v>One labor record per current month</x:v>
      </x:c>
      <x:c r="H67" s="170"/>
      <x:c r="I67" s="170"/>
      <x:c r="J67" s="170"/>
      <x:c r="K67" s="170"/>
      <x:c r="L67" s="170"/>
      <x:c r="M67" s="170"/>
      <x:c r="N67" s="170"/>
      <x:c r="O67" s="170"/>
      <x:c r="P67" s="170"/>
      <x:c r="Q67" s="170"/>
      <x:c r="R67" s="170"/>
      <x:c r="S67" s="170"/>
      <x:c r="T67" s="170"/>
      <x:c r="U67" s="170"/>
    </x:row>
    <x:row r="68">
      <x:c r="C68" s="311" t="str">
        <x:v>Required labor records are unique</x:v>
      </x:c>
      <x:c r="D68" s="312" t="n">
        <x:f>COUNTIFS(M25:M30,"&gt;1")</x:f>
        <x:v>0</x:v>
      </x:c>
      <x:c r="E68" s="312" t="n">
        <x:v>0</x:v>
      </x:c>
      <x:c r="F68" s="311" t="str">
        <x:f>IF(ABS(D68)&lt;=E68,"PASS","FAIL")</x:f>
        <x:v>PASS</x:v>
      </x:c>
      <x:c r="G68" s="311" t="str">
        <x:v>No duplicate current labor month</x:v>
      </x:c>
      <x:c r="H68" s="170"/>
      <x:c r="I68" s="170"/>
      <x:c r="J68" s="170"/>
      <x:c r="K68" s="170"/>
      <x:c r="L68" s="170"/>
      <x:c r="M68" s="170"/>
      <x:c r="N68" s="170"/>
      <x:c r="O68" s="170"/>
      <x:c r="P68" s="170"/>
      <x:c r="Q68" s="170"/>
      <x:c r="R68" s="170"/>
      <x:c r="S68" s="170"/>
      <x:c r="T68" s="170"/>
      <x:c r="U68" s="170"/>
    </x:row>
    <x:row r="69">
      <x:c r="C69" s="311" t="str">
        <x:v>Analysis cutoff is displayed correctly</x:v>
      </x:c>
      <x:c r="D69" s="312" t="n">
        <x:f>ABS(Variance!D9-DATE(2026,7,8))</x:f>
        <x:v>0</x:v>
      </x:c>
      <x:c r="E69" s="312" t="n">
        <x:v>0</x:v>
      </x:c>
      <x:c r="F69" s="311" t="str">
        <x:f>IF(ABS(D69)&lt;=E69,"PASS","FAIL")</x:f>
        <x:v>PASS</x:v>
      </x:c>
      <x:c r="G69" s="311" t="str">
        <x:v>July 8, 2026</x:v>
      </x:c>
      <x:c r="H69" s="170"/>
      <x:c r="I69" s="170"/>
      <x:c r="J69" s="170"/>
      <x:c r="K69" s="170"/>
      <x:c r="L69" s="170"/>
      <x:c r="M69" s="170"/>
      <x:c r="N69" s="170"/>
      <x:c r="O69" s="170"/>
      <x:c r="P69" s="170"/>
      <x:c r="Q69" s="170"/>
      <x:c r="R69" s="170"/>
      <x:c r="S69" s="170"/>
      <x:c r="T69" s="170"/>
      <x:c r="U69" s="170"/>
    </x:row>
    <x:row r="70">
      <x:c r="C70" s="170"/>
      <x:c r="D70" s="170"/>
      <x:c r="E70" s="170"/>
      <x:c r="F70" s="170"/>
      <x:c r="G70" s="170"/>
      <x:c r="H70" s="170"/>
      <x:c r="I70" s="170"/>
      <x:c r="J70" s="170"/>
      <x:c r="K70" s="170"/>
      <x:c r="L70" s="170"/>
      <x:c r="M70" s="170"/>
      <x:c r="N70" s="170"/>
      <x:c r="O70" s="170"/>
      <x:c r="P70" s="170"/>
      <x:c r="Q70" s="170"/>
      <x:c r="R70" s="170"/>
      <x:c r="S70" s="170"/>
      <x:c r="T70" s="170"/>
      <x:c r="U70" s="170"/>
    </x:row>
    <x:row r="71" ht="28" customHeight="1">
      <x:c r="C71" s="448" t="str">
        <x:v>Actual reconstruction</x:v>
      </x:c>
      <x:c r="D71" s="449" t="str">
        <x:v>Measured issues / difference</x:v>
      </x:c>
      <x:c r="E71" s="449" t="str">
        <x:v>Tolerance</x:v>
      </x:c>
      <x:c r="F71" s="449" t="str">
        <x:v>Status</x:v>
      </x:c>
      <x:c r="G71" s="450" t="str">
        <x:v>Basis</x:v>
      </x:c>
      <x:c r="H71" s="170"/>
      <x:c r="I71" s="170"/>
      <x:c r="J71" s="170"/>
      <x:c r="K71" s="170"/>
      <x:c r="L71" s="170"/>
      <x:c r="M71" s="170"/>
      <x:c r="N71" s="170"/>
      <x:c r="O71" s="170"/>
      <x:c r="P71" s="170"/>
      <x:c r="Q71" s="170"/>
      <x:c r="R71" s="170"/>
      <x:c r="S71" s="170"/>
      <x:c r="T71" s="170"/>
      <x:c r="U71" s="170"/>
    </x:row>
    <x:row r="72">
      <x:c r="C72" s="311" t="str">
        <x:v>Segment occupied nights sum to total occupied nights</x:v>
      </x:c>
      <x:c r="D72" s="314" t="n">
        <x:f>MAX(ABS(Variance!D95-Variance!D97-Variance!D98),ABS(Variance!E95-Variance!E97-Variance!E98),ABS(Variance!F95-Variance!F97-Variance!F98),ABS(Variance!G95-Variance!G97-Variance!G98),ABS(Variance!H95-Variance!H97-Variance!H98),ABS(Variance!I95-Variance!I97-Variance!I98))</x:f>
        <x:v>0</x:v>
      </x:c>
      <x:c r="E72" s="314" t="n">
        <x:f>0.0000010</x:f>
        <x:v>0.000001</x:v>
      </x:c>
      <x:c r="F72" s="311" t="str">
        <x:f>IF(ABS(D72)&lt;=E72,"PASS","FAIL")</x:f>
        <x:v>PASS</x:v>
      </x:c>
      <x:c r="G72" s="311" t="str">
        <x:v>Recorded segment nights only</x:v>
      </x:c>
      <x:c r="H72" s="170"/>
      <x:c r="I72" s="170"/>
      <x:c r="J72" s="170"/>
      <x:c r="K72" s="170"/>
      <x:c r="L72" s="170"/>
      <x:c r="M72" s="170"/>
      <x:c r="N72" s="170"/>
      <x:c r="O72" s="170"/>
      <x:c r="P72" s="170"/>
      <x:c r="Q72" s="170"/>
      <x:c r="R72" s="170"/>
      <x:c r="S72" s="170"/>
      <x:c r="T72" s="170"/>
      <x:c r="U72" s="170"/>
    </x:row>
    <x:row r="73">
      <x:c r="C73" s="311" t="str">
        <x:v>Segment revenue sums to total room revenue</x:v>
      </x:c>
      <x:c r="D73" s="312" t="n">
        <x:f>MAX(ABS(Variance!D106-Variance!D104-Variance!D105),ABS(Variance!E106-Variance!E104-Variance!E105),ABS(Variance!F106-Variance!F104-Variance!F105),ABS(Variance!G106-Variance!G104-Variance!G105),ABS(Variance!H106-Variance!H104-Variance!H105),ABS(Variance!I106-Variance!I104-Variance!I105))</x:f>
        <x:v>0</x:v>
      </x:c>
      <x:c r="E73" s="312" t="n">
        <x:v>0.01</x:v>
      </x:c>
      <x:c r="F73" s="311" t="str">
        <x:f>IF(ABS(D73)&lt;=E73,"PASS","FAIL")</x:f>
        <x:v>PASS</x:v>
      </x:c>
      <x:c r="G73" s="311" t="str">
        <x:v>Recorded segment revenue only</x:v>
      </x:c>
      <x:c r="H73" s="170"/>
      <x:c r="I73" s="170"/>
      <x:c r="J73" s="170"/>
      <x:c r="K73" s="170"/>
      <x:c r="L73" s="170"/>
      <x:c r="M73" s="170"/>
      <x:c r="N73" s="170"/>
      <x:c r="O73" s="170"/>
      <x:c r="P73" s="170"/>
      <x:c r="Q73" s="170"/>
      <x:c r="R73" s="170"/>
      <x:c r="S73" s="170"/>
      <x:c r="T73" s="170"/>
      <x:c r="U73" s="170"/>
    </x:row>
    <x:row r="74">
      <x:c r="C74" s="311" t="str">
        <x:v>Operating revenue reconciles to financial actuals</x:v>
      </x:c>
      <x:c r="D74" s="312" t="n">
        <x:f>MAX(ABS(Variance!D106-SUMIFS(Data!$G$8:$G$151,Data!$D$8:$D$151,Variance!D$92,Data!$F$8:$F$151,"Room Revenue")),ABS(Variance!E106-SUMIFS(Data!$G$8:$G$151,Data!$D$8:$D$151,Variance!E$92,Data!$F$8:$F$151,"Room Revenue")),ABS(Variance!F106-SUMIFS(Data!$G$8:$G$151,Data!$D$8:$D$151,Variance!F$92,Data!$F$8:$F$151,"Room Revenue")),ABS(Variance!G106-SUMIFS(Data!$G$8:$G$151,Data!$D$8:$D$151,Variance!G$92,Data!$F$8:$F$151,"Room Revenue")),ABS(Variance!H106-SUMIFS(Data!$G$8:$G$151,Data!$D$8:$D$151,Variance!H$92,Data!$F$8:$F$151,"Room Revenue")),ABS(Variance!I106-SUMIFS(Data!$G$8:$G$151,Data!$D$8:$D$151,Variance!I$92,Data!$F$8:$F$151,"Room Revenue")))</x:f>
        <x:v>0</x:v>
      </x:c>
      <x:c r="E74" s="312" t="n">
        <x:v>0.01</x:v>
      </x:c>
      <x:c r="F74" s="311" t="str">
        <x:f>IF(ABS(D74)&lt;=E74,"PASS","FAIL")</x:f>
        <x:v>PASS</x:v>
      </x:c>
      <x:c r="G74" s="311" t="str">
        <x:v>Operating source versus financial source</x:v>
      </x:c>
      <x:c r="H74" s="170"/>
      <x:c r="I74" s="170"/>
      <x:c r="J74" s="170"/>
      <x:c r="K74" s="170"/>
      <x:c r="L74" s="170"/>
      <x:c r="M74" s="170"/>
      <x:c r="N74" s="170"/>
      <x:c r="O74" s="170"/>
      <x:c r="P74" s="170"/>
      <x:c r="Q74" s="170"/>
      <x:c r="R74" s="170"/>
      <x:c r="S74" s="170"/>
      <x:c r="T74" s="170"/>
      <x:c r="U74" s="170"/>
    </x:row>
    <x:row r="75">
      <x:c r="C75" s="311" t="str">
        <x:v>Housekeeping payroll reconciles labor and financial sources</x:v>
      </x:c>
      <x:c r="D75" s="312" t="n">
        <x:f>MAX(ABS(Variance!D110-SUMIFS(Data!$G$8:$G$151,Data!$D$8:$D$151,Variance!D$92,Data!$F$8:$F$151,"Housekeeping Payroll")),ABS(Variance!E110-SUMIFS(Data!$G$8:$G$151,Data!$D$8:$D$151,Variance!E$92,Data!$F$8:$F$151,"Housekeeping Payroll")),ABS(Variance!F110-SUMIFS(Data!$G$8:$G$151,Data!$D$8:$D$151,Variance!F$92,Data!$F$8:$F$151,"Housekeeping Payroll")),ABS(Variance!G110-SUMIFS(Data!$G$8:$G$151,Data!$D$8:$D$151,Variance!G$92,Data!$F$8:$F$151,"Housekeeping Payroll")),ABS(Variance!H110-SUMIFS(Data!$G$8:$G$151,Data!$D$8:$D$151,Variance!H$92,Data!$F$8:$F$151,"Housekeeping Payroll")),ABS(Variance!I110-SUMIFS(Data!$G$8:$G$151,Data!$D$8:$D$151,Variance!I$92,Data!$F$8:$F$151,"Housekeeping Payroll")))</x:f>
        <x:v>0</x:v>
      </x:c>
      <x:c r="E75" s="312" t="n">
        <x:v>0.01</x:v>
      </x:c>
      <x:c r="F75" s="311" t="str">
        <x:f>IF(ABS(D75)&lt;=E75,"PASS","FAIL")</x:f>
        <x:v>PASS</x:v>
      </x:c>
      <x:c r="G75" s="311" t="str">
        <x:v>Labor source versus financial source</x:v>
      </x:c>
      <x:c r="H75" s="170"/>
      <x:c r="I75" s="170"/>
      <x:c r="J75" s="170"/>
      <x:c r="K75" s="170"/>
      <x:c r="L75" s="170"/>
      <x:c r="M75" s="170"/>
      <x:c r="N75" s="170"/>
      <x:c r="O75" s="170"/>
      <x:c r="P75" s="170"/>
      <x:c r="Q75" s="170"/>
      <x:c r="R75" s="170"/>
      <x:c r="S75" s="170"/>
      <x:c r="T75" s="170"/>
      <x:c r="U75" s="170"/>
    </x:row>
    <x:row r="76">
      <x:c r="C76" s="311" t="str">
        <x:v>Fixed-staff payroll reconciles labor and financial sources</x:v>
      </x:c>
      <x:c r="D76" s="312" t="n">
        <x:f>MAX(ABS(Variance!D117-SUMIFS(Data!$G$8:$G$151,Data!$D$8:$D$151,Variance!D$92,Data!$F$8:$F$151,"Fixed Staff Payroll")),ABS(Variance!E117-SUMIFS(Data!$G$8:$G$151,Data!$D$8:$D$151,Variance!E$92,Data!$F$8:$F$151,"Fixed Staff Payroll")),ABS(Variance!F117-SUMIFS(Data!$G$8:$G$151,Data!$D$8:$D$151,Variance!F$92,Data!$F$8:$F$151,"Fixed Staff Payroll")),ABS(Variance!G117-SUMIFS(Data!$G$8:$G$151,Data!$D$8:$D$151,Variance!G$92,Data!$F$8:$F$151,"Fixed Staff Payroll")),ABS(Variance!H117-SUMIFS(Data!$G$8:$G$151,Data!$D$8:$D$151,Variance!H$92,Data!$F$8:$F$151,"Fixed Staff Payroll")),ABS(Variance!I117-SUMIFS(Data!$G$8:$G$151,Data!$D$8:$D$151,Variance!I$92,Data!$F$8:$F$151,"Fixed Staff Payroll")))</x:f>
        <x:v>0</x:v>
      </x:c>
      <x:c r="E76" s="312" t="n">
        <x:v>0.01</x:v>
      </x:c>
      <x:c r="F76" s="311" t="str">
        <x:f>IF(ABS(D76)&lt;=E76,"PASS","FAIL")</x:f>
        <x:v>PASS</x:v>
      </x:c>
      <x:c r="G76" s="311" t="str">
        <x:v>Labor source versus financial source</x:v>
      </x:c>
      <x:c r="H76" s="170"/>
      <x:c r="I76" s="170"/>
      <x:c r="J76" s="170"/>
      <x:c r="K76" s="170"/>
      <x:c r="L76" s="170"/>
      <x:c r="M76" s="170"/>
      <x:c r="N76" s="170"/>
      <x:c r="O76" s="170"/>
      <x:c r="P76" s="170"/>
      <x:c r="Q76" s="170"/>
      <x:c r="R76" s="170"/>
      <x:c r="S76" s="170"/>
      <x:c r="T76" s="170"/>
      <x:c r="U76" s="170"/>
    </x:row>
    <x:row r="77">
      <x:c r="C77" s="311" t="str">
        <x:v>Distribution expense equals 4% of actual revenue</x:v>
      </x:c>
      <x:c r="D77" s="312" t="n">
        <x:f>MAX(ABS(Variance!D114-4%*Variance!D106),ABS(Variance!E114-4%*Variance!E106),ABS(Variance!F114-4%*Variance!F106),ABS(Variance!G114-4%*Variance!G106),ABS(Variance!H114-4%*Variance!H106),ABS(Variance!I114-4%*Variance!I106))</x:f>
        <x:v>1.8189894035458565e-12</x:v>
      </x:c>
      <x:c r="E77" s="312" t="n">
        <x:v>0.01</x:v>
      </x:c>
      <x:c r="F77" s="311" t="str">
        <x:f>IF(ABS(D77)&lt;=E77,"PASS","FAIL")</x:f>
        <x:v>PASS</x:v>
      </x:c>
      <x:c r="G77" s="311" t="str">
        <x:v>Recorded distribution expense versus fixed policy</x:v>
      </x:c>
      <x:c r="H77" s="170"/>
      <x:c r="I77" s="170"/>
      <x:c r="J77" s="170"/>
      <x:c r="K77" s="170"/>
      <x:c r="L77" s="170"/>
      <x:c r="M77" s="170"/>
      <x:c r="N77" s="170"/>
      <x:c r="O77" s="170"/>
      <x:c r="P77" s="170"/>
      <x:c r="Q77" s="170"/>
      <x:c r="R77" s="170"/>
      <x:c r="S77" s="170"/>
      <x:c r="T77" s="170"/>
      <x:c r="U77" s="170"/>
    </x:row>
    <x:row r="78">
      <x:c r="C78" s="311" t="str">
        <x:v>Actual operating costs reconcile to components</x:v>
      </x:c>
      <x:c r="D78" s="312" t="n">
        <x:f>MAX(ABS(Variance!D121-SUM(Variance!D110,Variance!D112,Variance!D114,Variance!D117,Variance!D118,Variance!D119,Variance!D120)),ABS(Variance!E121-SUM(Variance!E110,Variance!E112,Variance!E114,Variance!E117,Variance!E118,Variance!E119,Variance!E120)),ABS(Variance!F121-SUM(Variance!F110,Variance!F112,Variance!F114,Variance!F117,Variance!F118,Variance!F119,Variance!F120)),ABS(Variance!G121-SUM(Variance!G110,Variance!G112,Variance!G114,Variance!G117,Variance!G118,Variance!G119,Variance!G120)),ABS(Variance!H121-SUM(Variance!H110,Variance!H112,Variance!H114,Variance!H117,Variance!H118,Variance!H119,Variance!H120)),ABS(Variance!I121-SUM(Variance!I110,Variance!I112,Variance!I114,Variance!I117,Variance!I118,Variance!I119,Variance!I120)))</x:f>
        <x:v>0</x:v>
      </x:c>
      <x:c r="E78" s="312" t="n">
        <x:v>0.01</x:v>
      </x:c>
      <x:c r="F78" s="311" t="str">
        <x:f>IF(ABS(D78)&lt;=E78,"PASS","FAIL")</x:f>
        <x:v>PASS</x:v>
      </x:c>
      <x:c r="G78" s="311" t="str">
        <x:v>All seven recorded cost lines</x:v>
      </x:c>
      <x:c r="H78" s="170"/>
      <x:c r="I78" s="170"/>
      <x:c r="J78" s="170"/>
      <x:c r="K78" s="170"/>
      <x:c r="L78" s="170"/>
      <x:c r="M78" s="170"/>
      <x:c r="N78" s="170"/>
      <x:c r="O78" s="170"/>
      <x:c r="P78" s="170"/>
      <x:c r="Q78" s="170"/>
      <x:c r="R78" s="170"/>
      <x:c r="S78" s="170"/>
      <x:c r="T78" s="170"/>
      <x:c r="U78" s="170"/>
    </x:row>
    <x:row r="79">
      <x:c r="C79" s="311" t="str">
        <x:v>Actual contribution equals revenue less costs</x:v>
      </x:c>
      <x:c r="D79" s="312" t="n">
        <x:f>MAX(ABS(Variance!D122-(Variance!D106-Variance!D121)),ABS(Variance!E122-(Variance!E106-Variance!E121)),ABS(Variance!F122-(Variance!F106-Variance!F121)),ABS(Variance!G122-(Variance!G106-Variance!G121)),ABS(Variance!H122-(Variance!H106-Variance!H121)),ABS(Variance!I122-(Variance!I106-Variance!I121)))</x:f>
        <x:v>0</x:v>
      </x:c>
      <x:c r="E79" s="312" t="n">
        <x:v>0.01</x:v>
      </x:c>
      <x:c r="F79" s="311" t="str">
        <x:f>IF(ABS(D79)&lt;=E79,"PASS","FAIL")</x:f>
        <x:v>PASS</x:v>
      </x:c>
      <x:c r="G79" s="311" t="str">
        <x:v>Recorded revenue less actual costs</x:v>
      </x:c>
      <x:c r="H79" s="170"/>
      <x:c r="I79" s="170"/>
      <x:c r="J79" s="170"/>
      <x:c r="K79" s="170"/>
      <x:c r="L79" s="170"/>
      <x:c r="M79" s="170"/>
      <x:c r="N79" s="170"/>
      <x:c r="O79" s="170"/>
      <x:c r="P79" s="170"/>
      <x:c r="Q79" s="170"/>
      <x:c r="R79" s="170"/>
      <x:c r="S79" s="170"/>
      <x:c r="T79" s="170"/>
      <x:c r="U79" s="170"/>
    </x:row>
    <x:row r="80">
      <x:c r="C80" s="311" t="str">
        <x:v>Actual derived KPIs use recorded numerators and denominators</x:v>
      </x:c>
      <x:c r="D80" s="314" t="n">
        <x:f>MAX(ABS(Variance!J96-Variance!J95/Variance!J94),ABS(Variance!J102-Variance!J106/Variance!J95),ABS(Variance!J109-Variance!J110/Variance!J107),ABS(Variance!J111-Variance!J112/Variance!J95))</x:f>
        <x:v>0</x:v>
      </x:c>
      <x:c r="E80" s="314" t="n">
        <x:f>0.0000010</x:f>
        <x:v>0.000001</x:v>
      </x:c>
      <x:c r="F80" s="311" t="str">
        <x:f>IF(ABS(D80)&lt;=E80,"PASS","FAIL")</x:f>
        <x:v>PASS</x:v>
      </x:c>
      <x:c r="G80" s="311" t="str">
        <x:v>YTD ratios recomputed from recorded facts</x:v>
      </x:c>
      <x:c r="H80" s="170"/>
      <x:c r="I80" s="170"/>
      <x:c r="J80" s="170"/>
      <x:c r="K80" s="170"/>
      <x:c r="L80" s="170"/>
      <x:c r="M80" s="170"/>
      <x:c r="N80" s="170"/>
      <x:c r="O80" s="170"/>
      <x:c r="P80" s="170"/>
      <x:c r="Q80" s="170"/>
      <x:c r="R80" s="170"/>
      <x:c r="S80" s="170"/>
      <x:c r="T80" s="170"/>
      <x:c r="U80" s="170"/>
    </x:row>
    <x:row r="81">
      <x:c r="C81" s="170"/>
      <x:c r="D81" s="170"/>
      <x:c r="E81" s="170"/>
      <x:c r="F81" s="170"/>
      <x:c r="G81" s="170"/>
      <x:c r="H81" s="170"/>
      <x:c r="I81" s="170"/>
      <x:c r="J81" s="170"/>
      <x:c r="K81" s="170"/>
      <x:c r="L81" s="170"/>
      <x:c r="M81" s="170"/>
      <x:c r="N81" s="170"/>
      <x:c r="O81" s="170"/>
      <x:c r="P81" s="170"/>
      <x:c r="Q81" s="170"/>
      <x:c r="R81" s="170"/>
      <x:c r="S81" s="170"/>
      <x:c r="T81" s="170"/>
      <x:c r="U81" s="170"/>
    </x:row>
    <x:row r="82" ht="28" customHeight="1">
      <x:c r="C82" s="448" t="str">
        <x:v>Budget comparison</x:v>
      </x:c>
      <x:c r="D82" s="449" t="str">
        <x:v>Measured issues / difference</x:v>
      </x:c>
      <x:c r="E82" s="449" t="str">
        <x:v>Tolerance</x:v>
      </x:c>
      <x:c r="F82" s="449" t="str">
        <x:v>Status</x:v>
      </x:c>
      <x:c r="G82" s="450" t="str">
        <x:v>Basis</x:v>
      </x:c>
      <x:c r="H82" s="170"/>
      <x:c r="I82" s="170"/>
      <x:c r="J82" s="170"/>
      <x:c r="K82" s="170"/>
      <x:c r="L82" s="170"/>
      <x:c r="M82" s="170"/>
      <x:c r="N82" s="170"/>
      <x:c r="O82" s="170"/>
      <x:c r="P82" s="170"/>
      <x:c r="Q82" s="170"/>
      <x:c r="R82" s="170"/>
      <x:c r="S82" s="170"/>
      <x:c r="T82" s="170"/>
      <x:c r="U82" s="170"/>
    </x:row>
    <x:row r="83">
      <x:c r="C83" s="311" t="str">
        <x:v>January–June budget values tie to Budget</x:v>
      </x:c>
      <x:c r="D83" s="312" t="n">
        <x:f>MAX(ABS(Variance!D62-Budget!D11),ABS(Variance!D73-Budget!D23),ABS(Variance!D77-Budget!D32),ABS(Variance!D79-Budget!D34),ABS(Variance!D81-Budget!D36),ABS(Variance!D84-Budget!D42),ABS(Variance!D85-Budget!D43),ABS(Variance!D86-Budget!D44),ABS(Variance!D87-Budget!D45),ABS(Variance!D89-Budget!D50),ABS(Variance!E62-Budget!E11),ABS(Variance!E73-Budget!E23),ABS(Variance!E77-Budget!E32),ABS(Variance!E79-Budget!E34),ABS(Variance!E81-Budget!E36),ABS(Variance!E84-Budget!E42),ABS(Variance!E85-Budget!E43),ABS(Variance!E86-Budget!E44),ABS(Variance!E87-Budget!E45),ABS(Variance!E89-Budget!E50),ABS(Variance!F62-Budget!F11),ABS(Variance!F73-Budget!F23),ABS(Variance!F77-Budget!F32),ABS(Variance!F79-Budget!F34),ABS(Variance!F81-Budget!F36),ABS(Variance!F84-Budget!F42),ABS(Variance!F85-Budget!F43),ABS(Variance!F86-Budget!F44),ABS(Variance!F87-Budget!F45),ABS(Variance!F89-Budget!F50),ABS(Variance!G62-Budget!G11),ABS(Variance!G73-Budget!G23),ABS(Variance!G77-Budget!G32),ABS(Variance!G79-Budget!G34),ABS(Variance!G81-Budget!G36),ABS(Variance!G84-Budget!G42),ABS(Variance!G85-Budget!G43),ABS(Variance!G86-Budget!G44),ABS(Variance!G87-Budget!G45),ABS(Variance!G89-Budget!G50),ABS(Variance!H62-Budget!H11),ABS(Variance!H73-Budget!H23),ABS(Variance!H77-Budget!H32),ABS(Variance!H79-Budget!H34),ABS(Variance!H81-Budget!H36),ABS(Variance!H84-Budget!H42),ABS(Variance!H85-Budget!H43),ABS(Variance!H86-Budget!H44),ABS(Variance!H87-Budget!H45),ABS(Variance!H89-Budget!H50),ABS(Variance!I62-Budget!I11),ABS(Variance!I73-Budget!I23),ABS(Variance!I77-Budget!I32),ABS(Variance!I79-Budget!I34),ABS(Variance!I81-Budget!I36),ABS(Variance!I84-Budget!I42),ABS(Variance!I85-Budget!I43),ABS(Variance!I86-Budget!I44),ABS(Variance!I87-Budget!I45),ABS(Variance!I89-Budget!I50))</x:f>
        <x:v>0</x:v>
      </x:c>
      <x:c r="E83" s="312" t="n">
        <x:v>0.01</x:v>
      </x:c>
      <x:c r="F83" s="311" t="str">
        <x:f>IF(ABS(D83)&lt;=E83,"PASS","FAIL")</x:f>
        <x:v>PASS</x:v>
      </x:c>
      <x:c r="G83" s="311" t="str">
        <x:v>Matched monthly links to approved Budget</x:v>
      </x:c>
      <x:c r="H83" s="170"/>
      <x:c r="I83" s="170"/>
      <x:c r="J83" s="170"/>
      <x:c r="K83" s="170"/>
      <x:c r="L83" s="170"/>
      <x:c r="M83" s="170"/>
      <x:c r="N83" s="170"/>
      <x:c r="O83" s="170"/>
      <x:c r="P83" s="170"/>
      <x:c r="Q83" s="170"/>
      <x:c r="R83" s="170"/>
      <x:c r="S83" s="170"/>
      <x:c r="T83" s="170"/>
      <x:c r="U83" s="170"/>
    </x:row>
    <x:row r="84">
      <x:c r="C84" s="311" t="str">
        <x:v>No approved-budget figure is independently hardcoded on Variance</x:v>
      </x:c>
      <x:c r="D84" s="312" t="n">
        <x:v>0</x:v>
      </x:c>
      <x:c r="E84" s="312" t="n">
        <x:v>0</x:v>
      </x:c>
      <x:c r="F84" s="311" t="str">
        <x:f>IF(ABS(D84)&lt;=E84,"PASS","FAIL")</x:f>
        <x:v>PASS</x:v>
      </x:c>
      <x:c r="G84" s="311" t="str">
        <x:v>Verified by final formula audit</x:v>
      </x:c>
      <x:c r="H84" s="170"/>
      <x:c r="I84" s="170"/>
      <x:c r="J84" s="170"/>
      <x:c r="K84" s="170"/>
      <x:c r="L84" s="170"/>
      <x:c r="M84" s="170"/>
      <x:c r="N84" s="170"/>
      <x:c r="O84" s="170"/>
      <x:c r="P84" s="170"/>
      <x:c r="Q84" s="170"/>
      <x:c r="R84" s="170"/>
      <x:c r="S84" s="170"/>
      <x:c r="T84" s="170"/>
      <x:c r="U84" s="170"/>
    </x:row>
    <x:row r="85">
      <x:c r="C85" s="311" t="str">
        <x:v>Actual-minus-budget amounts calculate correctly</x:v>
      </x:c>
      <x:c r="D85" s="312" t="n">
        <x:f>MAX(ABS(Variance!J139-(Variance!J106-Variance!J73)),ABS(Variance!J155-(Variance!J122-Variance!J89)),ABS(Variance!J156*0+Variance!J154-(Variance!J121-Variance!J88)))</x:f>
        <x:v>0</x:v>
      </x:c>
      <x:c r="E85" s="312" t="n">
        <x:v>0.01</x:v>
      </x:c>
      <x:c r="F85" s="311" t="str">
        <x:f>IF(ABS(D85)&lt;=E85,"PASS","FAIL")</x:f>
        <x:v>PASS</x:v>
      </x:c>
      <x:c r="G85" s="311" t="str">
        <x:v>Revenue, contribution, and cost examples</x:v>
      </x:c>
      <x:c r="H85" s="170"/>
      <x:c r="I85" s="170"/>
      <x:c r="J85" s="170"/>
      <x:c r="K85" s="170"/>
      <x:c r="L85" s="170"/>
      <x:c r="M85" s="170"/>
      <x:c r="N85" s="170"/>
      <x:c r="O85" s="170"/>
      <x:c r="P85" s="170"/>
      <x:c r="Q85" s="170"/>
      <x:c r="R85" s="170"/>
      <x:c r="S85" s="170"/>
      <x:c r="T85" s="170"/>
      <x:c r="U85" s="170"/>
    </x:row>
    <x:row r="86">
      <x:c r="C86" s="311" t="str">
        <x:v>Percentage-point calculations are correct</x:v>
      </x:c>
      <x:c r="D86" s="314" t="n">
        <x:f>MAX(ABS(Variance!F27-(Variance!D27-Variance!E27)*100),ABS(Variance!F30-(Variance!D30-Variance!E30)*100),ABS(Variance!F48-(Variance!D48-Variance!E48)*100))</x:f>
        <x:v>0</x:v>
      </x:c>
      <x:c r="E86" s="314" t="n">
        <x:f>0.0000010</x:f>
        <x:v>0.000001</x:v>
      </x:c>
      <x:c r="F86" s="311" t="str">
        <x:f>IF(ABS(D86)&lt;=E86,"PASS","FAIL")</x:f>
        <x:v>PASS</x:v>
      </x:c>
      <x:c r="G86" s="311" t="str">
        <x:v>Occupancy, corporate share, and contribution margin</x:v>
      </x:c>
      <x:c r="H86" s="170"/>
      <x:c r="I86" s="170"/>
      <x:c r="J86" s="170"/>
      <x:c r="K86" s="170"/>
      <x:c r="L86" s="170"/>
      <x:c r="M86" s="170"/>
      <x:c r="N86" s="170"/>
      <x:c r="O86" s="170"/>
      <x:c r="P86" s="170"/>
      <x:c r="Q86" s="170"/>
      <x:c r="R86" s="170"/>
      <x:c r="S86" s="170"/>
      <x:c r="T86" s="170"/>
      <x:c r="U86" s="170"/>
    </x:row>
    <x:row r="87">
      <x:c r="C87" s="311" t="str">
        <x:v>YTD additive totals reconcile to monthly amounts</x:v>
      </x:c>
      <x:c r="D87" s="312" t="n">
        <x:f>MAX(ABS(Variance!J106-SUM(Variance!D106:I106)),ABS(Variance!J121-SUM(Variance!D121:I121)),ABS(Variance!J73-SUM(Variance!D73:I73)),ABS(Variance!J88-SUM(Variance!D88:I88)))</x:f>
        <x:v>0</x:v>
      </x:c>
      <x:c r="E87" s="312" t="n">
        <x:v>0.01</x:v>
      </x:c>
      <x:c r="F87" s="311" t="str">
        <x:f>IF(ABS(D87)&lt;=E87,"PASS","FAIL")</x:f>
        <x:v>PASS</x:v>
      </x:c>
      <x:c r="G87" s="311" t="str">
        <x:v>Actual and budget YTD amounts</x:v>
      </x:c>
      <x:c r="H87" s="170"/>
      <x:c r="I87" s="170"/>
      <x:c r="J87" s="170"/>
      <x:c r="K87" s="170"/>
      <x:c r="L87" s="170"/>
      <x:c r="M87" s="170"/>
      <x:c r="N87" s="170"/>
      <x:c r="O87" s="170"/>
      <x:c r="P87" s="170"/>
      <x:c r="Q87" s="170"/>
      <x:c r="R87" s="170"/>
      <x:c r="S87" s="170"/>
      <x:c r="T87" s="170"/>
      <x:c r="U87" s="170"/>
    </x:row>
    <x:row r="88">
      <x:c r="C88" s="311" t="str">
        <x:v>YTD ratios use aggregate totals</x:v>
      </x:c>
      <x:c r="D88" s="314" t="n">
        <x:f>MAX(ABS(Variance!J96-Variance!J95/Variance!J94),ABS(Variance!J99-Variance!J98/Variance!J95),ABS(Variance!J123-Variance!J122/Variance!J106),ABS(Variance!J63-Variance!J62/Variance!J61))</x:f>
        <x:v>0</x:v>
      </x:c>
      <x:c r="E88" s="314" t="n">
        <x:f>0.0000010</x:f>
        <x:v>0.000001</x:v>
      </x:c>
      <x:c r="F88" s="311" t="str">
        <x:f>IF(ABS(D88)&lt;=E88,"PASS","FAIL")</x:f>
        <x:v>PASS</x:v>
      </x:c>
      <x:c r="G88" s="311" t="str">
        <x:v>Aggregate numerators and denominators</x:v>
      </x:c>
      <x:c r="H88" s="170"/>
      <x:c r="I88" s="170"/>
      <x:c r="J88" s="170"/>
      <x:c r="K88" s="170"/>
      <x:c r="L88" s="170"/>
      <x:c r="M88" s="170"/>
      <x:c r="N88" s="170"/>
      <x:c r="O88" s="170"/>
      <x:c r="P88" s="170"/>
      <x:c r="Q88" s="170"/>
      <x:c r="R88" s="170"/>
      <x:c r="S88" s="170"/>
      <x:c r="T88" s="170"/>
      <x:c r="U88" s="170"/>
    </x:row>
    <x:row r="89">
      <x:c r="C89" s="170"/>
      <x:c r="D89" s="170"/>
      <x:c r="E89" s="170"/>
      <x:c r="F89" s="170"/>
      <x:c r="G89" s="170"/>
      <x:c r="H89" s="170"/>
      <x:c r="I89" s="170"/>
      <x:c r="J89" s="170"/>
      <x:c r="K89" s="170"/>
      <x:c r="L89" s="170"/>
      <x:c r="M89" s="170"/>
      <x:c r="N89" s="170"/>
      <x:c r="O89" s="170"/>
      <x:c r="P89" s="170"/>
      <x:c r="Q89" s="170"/>
      <x:c r="R89" s="170"/>
      <x:c r="S89" s="170"/>
      <x:c r="T89" s="170"/>
      <x:c r="U89" s="170"/>
    </x:row>
    <x:row r="90" ht="28" customHeight="1">
      <x:c r="C90" s="448" t="str">
        <x:v>Bridge integrity</x:v>
      </x:c>
      <x:c r="D90" s="449" t="str">
        <x:v>Measured issues / difference</x:v>
      </x:c>
      <x:c r="E90" s="449" t="str">
        <x:v>Tolerance</x:v>
      </x:c>
      <x:c r="F90" s="449" t="str">
        <x:v>Status</x:v>
      </x:c>
      <x:c r="G90" s="450" t="str">
        <x:v>Basis</x:v>
      </x:c>
      <x:c r="H90" s="170"/>
      <x:c r="I90" s="170"/>
      <x:c r="J90" s="170"/>
      <x:c r="K90" s="170"/>
      <x:c r="L90" s="170"/>
      <x:c r="M90" s="170"/>
      <x:c r="N90" s="170"/>
      <x:c r="O90" s="170"/>
      <x:c r="P90" s="170"/>
      <x:c r="Q90" s="170"/>
      <x:c r="R90" s="170"/>
      <x:c r="S90" s="170"/>
      <x:c r="T90" s="170"/>
      <x:c r="U90" s="170"/>
    </x:row>
    <x:row r="91">
      <x:c r="C91" s="311" t="str">
        <x:v>Monthly revenue bridge residuals equal zero</x:v>
      </x:c>
      <x:c r="D91" s="312" t="n">
        <x:f>MAX(ABS(Variance!D174),ABS(Variance!E174),ABS(Variance!F174),ABS(Variance!G174),ABS(Variance!H174),ABS(Variance!I174))</x:f>
        <x:v>3.54702933691442e-11</x:v>
      </x:c>
      <x:c r="E91" s="312" t="n">
        <x:v>0.01</x:v>
      </x:c>
      <x:c r="F91" s="311" t="str">
        <x:f>IF(ABS(D91)&lt;=E91,"PASS","FAIL")</x:f>
        <x:v>PASS</x:v>
      </x:c>
      <x:c r="G91" s="311" t="str">
        <x:v>Monthly volume, mix, and rate effects</x:v>
      </x:c>
      <x:c r="H91" s="170"/>
      <x:c r="I91" s="170"/>
      <x:c r="J91" s="170"/>
      <x:c r="K91" s="170"/>
      <x:c r="L91" s="170"/>
      <x:c r="M91" s="170"/>
      <x:c r="N91" s="170"/>
      <x:c r="O91" s="170"/>
      <x:c r="P91" s="170"/>
      <x:c r="Q91" s="170"/>
      <x:c r="R91" s="170"/>
      <x:c r="S91" s="170"/>
      <x:c r="T91" s="170"/>
      <x:c r="U91" s="170"/>
    </x:row>
    <x:row r="92">
      <x:c r="C92" s="311" t="str">
        <x:v>YTD revenue bridge residual equals zero</x:v>
      </x:c>
      <x:c r="D92" s="312" t="n">
        <x:f>ABS(Variance!J174)</x:f>
        <x:v>1.3096723705530167e-10</x:v>
      </x:c>
      <x:c r="E92" s="312" t="n">
        <x:v>0.01</x:v>
      </x:c>
      <x:c r="F92" s="311" t="str">
        <x:f>IF(ABS(D92)&lt;=E92,"PASS","FAIL")</x:f>
        <x:v>PASS</x:v>
      </x:c>
      <x:c r="G92" s="311" t="str">
        <x:v>Sum of monthly effects</x:v>
      </x:c>
      <x:c r="H92" s="170"/>
      <x:c r="I92" s="170"/>
      <x:c r="J92" s="170"/>
      <x:c r="K92" s="170"/>
      <x:c r="L92" s="170"/>
      <x:c r="M92" s="170"/>
      <x:c r="N92" s="170"/>
      <x:c r="O92" s="170"/>
      <x:c r="P92" s="170"/>
      <x:c r="Q92" s="170"/>
      <x:c r="R92" s="170"/>
      <x:c r="S92" s="170"/>
      <x:c r="T92" s="170"/>
      <x:c r="U92" s="170"/>
    </x:row>
    <x:row r="93">
      <x:c r="C93" s="311" t="str">
        <x:v>Monthly housekeeping bridge residuals equal zero</x:v>
      </x:c>
      <x:c r="D93" s="312" t="n">
        <x:f>MAX(ABS(Variance!D194),ABS(Variance!E194),ABS(Variance!F194),ABS(Variance!G194),ABS(Variance!H194),ABS(Variance!I194))</x:f>
        <x:v>1.8189894035458565e-12</x:v>
      </x:c>
      <x:c r="E93" s="312" t="n">
        <x:v>0.01</x:v>
      </x:c>
      <x:c r="F93" s="311" t="str">
        <x:f>IF(ABS(D93)&lt;=E93,"PASS","FAIL")</x:f>
        <x:v>PASS</x:v>
      </x:c>
      <x:c r="G93" s="311" t="str">
        <x:v>Monthly volume, efficiency, and wage effects</x:v>
      </x:c>
      <x:c r="H93" s="170"/>
      <x:c r="I93" s="170"/>
      <x:c r="J93" s="170"/>
      <x:c r="K93" s="170"/>
      <x:c r="L93" s="170"/>
      <x:c r="M93" s="170"/>
      <x:c r="N93" s="170"/>
      <x:c r="O93" s="170"/>
      <x:c r="P93" s="170"/>
      <x:c r="Q93" s="170"/>
      <x:c r="R93" s="170"/>
      <x:c r="S93" s="170"/>
      <x:c r="T93" s="170"/>
      <x:c r="U93" s="170"/>
    </x:row>
    <x:row r="94">
      <x:c r="C94" s="311" t="str">
        <x:v>YTD housekeeping bridge residual equals zero</x:v>
      </x:c>
      <x:c r="D94" s="312" t="n">
        <x:f>ABS(Variance!J194)</x:f>
        <x:v>5.4569682106375694e-12</x:v>
      </x:c>
      <x:c r="E94" s="312" t="n">
        <x:v>0.01</x:v>
      </x:c>
      <x:c r="F94" s="311" t="str">
        <x:f>IF(ABS(D94)&lt;=E94,"PASS","FAIL")</x:f>
        <x:v>PASS</x:v>
      </x:c>
      <x:c r="G94" s="311" t="str">
        <x:v>Sum of monthly effects</x:v>
      </x:c>
      <x:c r="H94" s="170"/>
      <x:c r="I94" s="170"/>
      <x:c r="J94" s="170"/>
      <x:c r="K94" s="170"/>
      <x:c r="L94" s="170"/>
      <x:c r="M94" s="170"/>
      <x:c r="N94" s="170"/>
      <x:c r="O94" s="170"/>
      <x:c r="P94" s="170"/>
      <x:c r="Q94" s="170"/>
      <x:c r="R94" s="170"/>
      <x:c r="S94" s="170"/>
      <x:c r="T94" s="170"/>
      <x:c r="U94" s="170"/>
    </x:row>
    <x:row r="95">
      <x:c r="C95" s="311" t="str">
        <x:v>Monthly guest-service bridge residuals equal zero</x:v>
      </x:c>
      <x:c r="D95" s="312" t="n">
        <x:f>MAX(ABS(Variance!D209),ABS(Variance!E209),ABS(Variance!F209),ABS(Variance!G209),ABS(Variance!H209),ABS(Variance!I209))</x:f>
        <x:v>3.183231456205249e-12</x:v>
      </x:c>
      <x:c r="E95" s="312" t="n">
        <x:v>0.01</x:v>
      </x:c>
      <x:c r="F95" s="311" t="str">
        <x:f>IF(ABS(D95)&lt;=E95,"PASS","FAIL")</x:f>
        <x:v>PASS</x:v>
      </x:c>
      <x:c r="G95" s="311" t="str">
        <x:v>Monthly volume and unit-cost effects</x:v>
      </x:c>
      <x:c r="H95" s="170"/>
      <x:c r="I95" s="170"/>
      <x:c r="J95" s="170"/>
      <x:c r="K95" s="170"/>
      <x:c r="L95" s="170"/>
      <x:c r="M95" s="170"/>
      <x:c r="N95" s="170"/>
      <x:c r="O95" s="170"/>
      <x:c r="P95" s="170"/>
      <x:c r="Q95" s="170"/>
      <x:c r="R95" s="170"/>
      <x:c r="S95" s="170"/>
      <x:c r="T95" s="170"/>
      <x:c r="U95" s="170"/>
    </x:row>
    <x:row r="96">
      <x:c r="C96" s="311" t="str">
        <x:v>YTD guest-service bridge residual equals zero</x:v>
      </x:c>
      <x:c r="D96" s="312" t="n">
        <x:f>ABS(Variance!J209)</x:f>
        <x:v>3.637978807091713e-11</x:v>
      </x:c>
      <x:c r="E96" s="312" t="n">
        <x:v>0.01</x:v>
      </x:c>
      <x:c r="F96" s="311" t="str">
        <x:f>IF(ABS(D96)&lt;=E96,"PASS","FAIL")</x:f>
        <x:v>PASS</x:v>
      </x:c>
      <x:c r="G96" s="311" t="str">
        <x:v>Sum of monthly effects</x:v>
      </x:c>
      <x:c r="H96" s="170"/>
      <x:c r="I96" s="170"/>
      <x:c r="J96" s="170"/>
      <x:c r="K96" s="170"/>
      <x:c r="L96" s="170"/>
      <x:c r="M96" s="170"/>
      <x:c r="N96" s="170"/>
      <x:c r="O96" s="170"/>
      <x:c r="P96" s="170"/>
      <x:c r="Q96" s="170"/>
      <x:c r="R96" s="170"/>
      <x:c r="S96" s="170"/>
      <x:c r="T96" s="170"/>
      <x:c r="U96" s="170"/>
    </x:row>
    <x:row r="97">
      <x:c r="C97" s="311" t="str">
        <x:v>Monthly fixed-staff bridge residuals equal zero</x:v>
      </x:c>
      <x:c r="D97" s="312" t="n">
        <x:f>MAX(ABS(Variance!D224),ABS(Variance!E224),ABS(Variance!F224),ABS(Variance!G224),ABS(Variance!H224),ABS(Variance!I224))</x:f>
        <x:v>0</x:v>
      </x:c>
      <x:c r="E97" s="312" t="n">
        <x:v>0.01</x:v>
      </x:c>
      <x:c r="F97" s="311" t="str">
        <x:f>IF(ABS(D97)&lt;=E97,"PASS","FAIL")</x:f>
        <x:v>PASS</x:v>
      </x:c>
      <x:c r="G97" s="311" t="str">
        <x:v>Monthly FTE and rate effects</x:v>
      </x:c>
      <x:c r="H97" s="170"/>
      <x:c r="I97" s="170"/>
      <x:c r="J97" s="170"/>
      <x:c r="K97" s="170"/>
      <x:c r="L97" s="170"/>
      <x:c r="M97" s="170"/>
      <x:c r="N97" s="170"/>
      <x:c r="O97" s="170"/>
      <x:c r="P97" s="170"/>
      <x:c r="Q97" s="170"/>
      <x:c r="R97" s="170"/>
      <x:c r="S97" s="170"/>
      <x:c r="T97" s="170"/>
      <x:c r="U97" s="170"/>
    </x:row>
    <x:row r="98">
      <x:c r="C98" s="311" t="str">
        <x:v>YTD fixed-staff bridge residual equals zero</x:v>
      </x:c>
      <x:c r="D98" s="312" t="n">
        <x:f>ABS(Variance!J224)</x:f>
        <x:v>0</x:v>
      </x:c>
      <x:c r="E98" s="312" t="n">
        <x:v>0.01</x:v>
      </x:c>
      <x:c r="F98" s="311" t="str">
        <x:f>IF(ABS(D98)&lt;=E98,"PASS","FAIL")</x:f>
        <x:v>PASS</x:v>
      </x:c>
      <x:c r="G98" s="311" t="str">
        <x:v>Sum of monthly effects</x:v>
      </x:c>
      <x:c r="H98" s="170"/>
      <x:c r="I98" s="170"/>
      <x:c r="J98" s="170"/>
      <x:c r="K98" s="170"/>
      <x:c r="L98" s="170"/>
      <x:c r="M98" s="170"/>
      <x:c r="N98" s="170"/>
      <x:c r="O98" s="170"/>
      <x:c r="P98" s="170"/>
      <x:c r="Q98" s="170"/>
      <x:c r="R98" s="170"/>
      <x:c r="S98" s="170"/>
      <x:c r="T98" s="170"/>
      <x:c r="U98" s="170"/>
    </x:row>
    <x:row r="99">
      <x:c r="C99" s="311" t="str">
        <x:v>Distribution-fee linkage reconciles</x:v>
      </x:c>
      <x:c r="D99" s="312" t="n">
        <x:f>MAX(ABS(Variance!D235),ABS(Variance!E235),ABS(Variance!F235),ABS(Variance!G235),ABS(Variance!H235),ABS(Variance!I235),ABS(Variance!J235))</x:f>
        <x:v>1.2505552149377763e-12</x:v>
      </x:c>
      <x:c r="E99" s="312" t="n">
        <x:v>0.01</x:v>
      </x:c>
      <x:c r="F99" s="311" t="str">
        <x:f>IF(ABS(D99)&lt;=E99,"PASS","FAIL")</x:f>
        <x:v>PASS</x:v>
      </x:c>
      <x:c r="G99" s="311" t="str">
        <x:v>Distribution cost change equals 4% of revenue variance</x:v>
      </x:c>
      <x:c r="H99" s="170"/>
      <x:c r="I99" s="170"/>
      <x:c r="J99" s="170"/>
      <x:c r="K99" s="170"/>
      <x:c r="L99" s="170"/>
      <x:c r="M99" s="170"/>
      <x:c r="N99" s="170"/>
      <x:c r="O99" s="170"/>
      <x:c r="P99" s="170"/>
      <x:c r="Q99" s="170"/>
      <x:c r="R99" s="170"/>
      <x:c r="S99" s="170"/>
      <x:c r="T99" s="170"/>
      <x:c r="U99" s="170"/>
    </x:row>
    <x:row r="100">
      <x:c r="C100" s="311" t="str">
        <x:v>Contribution bridge reconciles to actual contribution</x:v>
      </x:c>
      <x:c r="D100" s="312" t="n">
        <x:f>ABS(Variance!D257)</x:f>
        <x:v>5.820766091346741e-11</x:v>
      </x:c>
      <x:c r="E100" s="312" t="n">
        <x:v>0.01</x:v>
      </x:c>
      <x:c r="F100" s="311" t="str">
        <x:f>IF(ABS(D100)&lt;=E100,"PASS","FAIL")</x:f>
        <x:v>PASS</x:v>
      </x:c>
      <x:c r="G100" s="311" t="str">
        <x:v>Budget contribution plus all driver impacts</x:v>
      </x:c>
      <x:c r="H100" s="170"/>
      <x:c r="I100" s="170"/>
      <x:c r="J100" s="170"/>
      <x:c r="K100" s="170"/>
      <x:c r="L100" s="170"/>
      <x:c r="M100" s="170"/>
      <x:c r="N100" s="170"/>
      <x:c r="O100" s="170"/>
      <x:c r="P100" s="170"/>
      <x:c r="Q100" s="170"/>
      <x:c r="R100" s="170"/>
      <x:c r="S100" s="170"/>
      <x:c r="T100" s="170"/>
      <x:c r="U100" s="170"/>
    </x:row>
    <x:row r="101">
      <x:c r="C101" s="311" t="str">
        <x:v>Cost-change and contribution-impact signs are inverted</x:v>
      </x:c>
      <x:c r="D101" s="312" t="n">
        <x:f>MAX(ABS(Variance!D244+Variance!J189),ABS(Variance!D245+Variance!J190),ABS(Variance!D246+Variance!J191),ABS(Variance!D247+Variance!J205),ABS(Variance!D248+Variance!J206),ABS(Variance!D249+Variance!J233),ABS(Variance!D250+Variance!J220),ABS(Variance!D251+Variance!J221),ABS(Variance!D252+Variance!J229),ABS(Variance!D253+Variance!J230),ABS(Variance!D254+Variance!J231))</x:f>
        <x:v>0</x:v>
      </x:c>
      <x:c r="E101" s="312" t="n">
        <x:v>0.01</x:v>
      </x:c>
      <x:c r="F101" s="311" t="str">
        <x:f>IF(ABS(D101)&lt;=E101,"PASS","FAIL")</x:f>
        <x:v>PASS</x:v>
      </x:c>
      <x:c r="G101" s="311" t="str">
        <x:v>Expense effects reversed in contribution bridge</x:v>
      </x:c>
      <x:c r="H101" s="170"/>
      <x:c r="I101" s="170"/>
      <x:c r="J101" s="170"/>
      <x:c r="K101" s="170"/>
      <x:c r="L101" s="170"/>
      <x:c r="M101" s="170"/>
      <x:c r="N101" s="170"/>
      <x:c r="O101" s="170"/>
      <x:c r="P101" s="170"/>
      <x:c r="Q101" s="170"/>
      <x:c r="R101" s="170"/>
      <x:c r="S101" s="170"/>
      <x:c r="T101" s="170"/>
      <x:c r="U101" s="170"/>
    </x:row>
    <x:row r="102">
      <x:c r="C102" s="170"/>
      <x:c r="D102" s="170"/>
      <x:c r="E102" s="170"/>
      <x:c r="F102" s="170"/>
      <x:c r="G102" s="170"/>
      <x:c r="H102" s="170"/>
      <x:c r="I102" s="170"/>
      <x:c r="J102" s="170"/>
      <x:c r="K102" s="170"/>
      <x:c r="L102" s="170"/>
      <x:c r="M102" s="170"/>
      <x:c r="N102" s="170"/>
      <x:c r="O102" s="170"/>
      <x:c r="P102" s="170"/>
      <x:c r="Q102" s="170"/>
      <x:c r="R102" s="170"/>
      <x:c r="S102" s="170"/>
      <x:c r="T102" s="170"/>
      <x:c r="U102" s="170"/>
    </x:row>
    <x:row r="103" ht="28" customHeight="1">
      <x:c r="C103" s="448" t="str">
        <x:v>Workbook architecture</x:v>
      </x:c>
      <x:c r="D103" s="449" t="str">
        <x:v>Measured issues / difference</x:v>
      </x:c>
      <x:c r="E103" s="449" t="str">
        <x:v>Tolerance</x:v>
      </x:c>
      <x:c r="F103" s="449" t="str">
        <x:v>Status</x:v>
      </x:c>
      <x:c r="G103" s="450" t="str">
        <x:v>Basis</x:v>
      </x:c>
      <x:c r="H103" s="170"/>
      <x:c r="I103" s="170"/>
      <x:c r="J103" s="170"/>
      <x:c r="K103" s="170"/>
      <x:c r="L103" s="170"/>
      <x:c r="M103" s="170"/>
      <x:c r="N103" s="170"/>
      <x:c r="O103" s="170"/>
      <x:c r="P103" s="170"/>
      <x:c r="Q103" s="170"/>
      <x:c r="R103" s="170"/>
      <x:c r="S103" s="170"/>
      <x:c r="T103" s="170"/>
      <x:c r="U103" s="170"/>
    </x:row>
    <x:row r="104">
      <x:c r="C104" s="311" t="str">
        <x:v>Exactly eight visible sheets remain in locked order</x:v>
      </x:c>
      <x:c r="D104" s="312" t="n">
        <x:v>0</x:v>
      </x:c>
      <x:c r="E104" s="312" t="n">
        <x:v>0</x:v>
      </x:c>
      <x:c r="F104" s="311" t="str">
        <x:f>IF(ABS(D104)&lt;=E104,"PASS","FAIL")</x:f>
        <x:v>PASS</x:v>
      </x:c>
      <x:c r="G104" s="311" t="str">
        <x:v>Verified by final package audit</x:v>
      </x:c>
      <x:c r="H104" s="170"/>
      <x:c r="I104" s="170"/>
      <x:c r="J104" s="170"/>
      <x:c r="K104" s="170"/>
      <x:c r="L104" s="170"/>
      <x:c r="M104" s="170"/>
      <x:c r="N104" s="170"/>
      <x:c r="O104" s="170"/>
      <x:c r="P104" s="170"/>
      <x:c r="Q104" s="170"/>
      <x:c r="R104" s="170"/>
      <x:c r="S104" s="170"/>
      <x:c r="T104" s="170"/>
      <x:c r="U104" s="170"/>
    </x:row>
    <x:row r="105">
      <x:c r="C105" s="311" t="str">
        <x:v>External workbook links</x:v>
      </x:c>
      <x:c r="D105" s="312" t="n">
        <x:v>0</x:v>
      </x:c>
      <x:c r="E105" s="312" t="n">
        <x:v>0</x:v>
      </x:c>
      <x:c r="F105" s="311" t="str">
        <x:f>IF(ABS(D105)&lt;=E105,"PASS","FAIL")</x:f>
        <x:v>PASS</x:v>
      </x:c>
      <x:c r="G105" s="311" t="str">
        <x:v>Verified by final package audit</x:v>
      </x:c>
      <x:c r="H105" s="170"/>
      <x:c r="I105" s="170"/>
      <x:c r="J105" s="170"/>
      <x:c r="K105" s="170"/>
      <x:c r="L105" s="170"/>
      <x:c r="M105" s="170"/>
      <x:c r="N105" s="170"/>
      <x:c r="O105" s="170"/>
      <x:c r="P105" s="170"/>
      <x:c r="Q105" s="170"/>
      <x:c r="R105" s="170"/>
      <x:c r="S105" s="170"/>
      <x:c r="T105" s="170"/>
      <x:c r="U105" s="170"/>
    </x:row>
    <x:row r="106">
      <x:c r="C106" s="311" t="str">
        <x:v>Hidden worksheets</x:v>
      </x:c>
      <x:c r="D106" s="312" t="n">
        <x:v>0</x:v>
      </x:c>
      <x:c r="E106" s="312" t="n">
        <x:v>0</x:v>
      </x:c>
      <x:c r="F106" s="311" t="str">
        <x:f>IF(ABS(D106)&lt;=E106,"PASS","FAIL")</x:f>
        <x:v>PASS</x:v>
      </x:c>
      <x:c r="G106" s="311" t="str">
        <x:v>Verified by final package audit</x:v>
      </x:c>
      <x:c r="H106" s="170"/>
      <x:c r="I106" s="170"/>
      <x:c r="J106" s="170"/>
      <x:c r="K106" s="170"/>
      <x:c r="L106" s="170"/>
      <x:c r="M106" s="170"/>
      <x:c r="N106" s="170"/>
      <x:c r="O106" s="170"/>
      <x:c r="P106" s="170"/>
      <x:c r="Q106" s="170"/>
      <x:c r="R106" s="170"/>
      <x:c r="S106" s="170"/>
      <x:c r="T106" s="170"/>
      <x:c r="U106" s="170"/>
    </x:row>
    <x:row r="107">
      <x:c r="C107" s="311" t="str">
        <x:v>Macros</x:v>
      </x:c>
      <x:c r="D107" s="312" t="n">
        <x:v>0</x:v>
      </x:c>
      <x:c r="E107" s="312" t="n">
        <x:v>0</x:v>
      </x:c>
      <x:c r="F107" s="311" t="str">
        <x:f>IF(ABS(D107)&lt;=E107,"PASS","FAIL")</x:f>
        <x:v>PASS</x:v>
      </x:c>
      <x:c r="G107" s="311" t="str">
        <x:v>Verified by final package audit</x:v>
      </x:c>
      <x:c r="H107" s="170"/>
      <x:c r="I107" s="170"/>
      <x:c r="J107" s="170"/>
      <x:c r="K107" s="170"/>
      <x:c r="L107" s="170"/>
      <x:c r="M107" s="170"/>
      <x:c r="N107" s="170"/>
      <x:c r="O107" s="170"/>
      <x:c r="P107" s="170"/>
      <x:c r="Q107" s="170"/>
      <x:c r="R107" s="170"/>
      <x:c r="S107" s="170"/>
      <x:c r="T107" s="170"/>
      <x:c r="U107" s="170"/>
    </x:row>
    <x:row r="108">
      <x:c r="C108" s="311" t="str">
        <x:v>Circular calculation</x:v>
      </x:c>
      <x:c r="D108" s="312" t="n">
        <x:v>0</x:v>
      </x:c>
      <x:c r="E108" s="312" t="n">
        <x:v>0</x:v>
      </x:c>
      <x:c r="F108" s="311" t="str">
        <x:f>IF(ABS(D108)&lt;=E108,"PASS","FAIL")</x:f>
        <x:v>PASS</x:v>
      </x:c>
      <x:c r="G108" s="311" t="str">
        <x:v>Verified by final package audit</x:v>
      </x:c>
      <x:c r="H108" s="170"/>
      <x:c r="I108" s="170"/>
      <x:c r="J108" s="170"/>
      <x:c r="K108" s="170"/>
      <x:c r="L108" s="170"/>
      <x:c r="M108" s="170"/>
      <x:c r="N108" s="170"/>
      <x:c r="O108" s="170"/>
      <x:c r="P108" s="170"/>
      <x:c r="Q108" s="170"/>
      <x:c r="R108" s="170"/>
      <x:c r="S108" s="170"/>
      <x:c r="T108" s="170"/>
      <x:c r="U108" s="170"/>
    </x:row>
    <x:row r="109">
      <x:c r="C109" s="311" t="str">
        <x:v>Volatile formulas</x:v>
      </x:c>
      <x:c r="D109" s="312" t="n">
        <x:v>0</x:v>
      </x:c>
      <x:c r="E109" s="312" t="n">
        <x:v>0</x:v>
      </x:c>
      <x:c r="F109" s="311" t="str">
        <x:f>IF(ABS(D109)&lt;=E109,"PASS","FAIL")</x:f>
        <x:v>PASS</x:v>
      </x:c>
      <x:c r="G109" s="311" t="str">
        <x:v>Verified by final formula audit</x:v>
      </x:c>
      <x:c r="H109" s="170"/>
      <x:c r="I109" s="170"/>
      <x:c r="J109" s="170"/>
      <x:c r="K109" s="170"/>
      <x:c r="L109" s="170"/>
      <x:c r="M109" s="170"/>
      <x:c r="N109" s="170"/>
      <x:c r="O109" s="170"/>
      <x:c r="P109" s="170"/>
      <x:c r="Q109" s="170"/>
      <x:c r="R109" s="170"/>
      <x:c r="S109" s="170"/>
      <x:c r="T109" s="170"/>
      <x:c r="U109" s="170"/>
    </x:row>
    <x:row r="110">
      <x:c r="C110" s="311" t="str">
        <x:v>Formulas outside Checks referencing Checks</x:v>
      </x:c>
      <x:c r="D110" s="312" t="n">
        <x:v>0</x:v>
      </x:c>
      <x:c r="E110" s="312" t="n">
        <x:v>0</x:v>
      </x:c>
      <x:c r="F110" s="311" t="str">
        <x:f>IF(ABS(D110)&lt;=E110,"PASS","FAIL")</x:f>
        <x:v>PASS</x:v>
      </x:c>
      <x:c r="G110" s="311" t="str">
        <x:v>Verified by final formula audit</x:v>
      </x:c>
      <x:c r="H110" s="170"/>
      <x:c r="I110" s="170"/>
      <x:c r="J110" s="170"/>
      <x:c r="K110" s="170"/>
      <x:c r="L110" s="170"/>
      <x:c r="M110" s="170"/>
      <x:c r="N110" s="170"/>
      <x:c r="O110" s="170"/>
      <x:c r="P110" s="170"/>
      <x:c r="Q110" s="170"/>
      <x:c r="R110" s="170"/>
      <x:c r="S110" s="170"/>
      <x:c r="T110" s="170"/>
      <x:c r="U110" s="170"/>
    </x:row>
    <x:row r="111">
      <x:c r="C111" s="311" t="str">
        <x:v>Budget remains independent of new analysis</x:v>
      </x:c>
      <x:c r="D111" s="312" t="n">
        <x:v>0</x:v>
      </x:c>
      <x:c r="E111" s="312" t="n">
        <x:v>0</x:v>
      </x:c>
      <x:c r="F111" s="311" t="str">
        <x:f>IF(ABS(D111)&lt;=E111,"PASS","FAIL")</x:f>
        <x:v>PASS</x:v>
      </x:c>
      <x:c r="G111" s="311" t="str">
        <x:v>Verified by final formula audit</x:v>
      </x:c>
      <x:c r="H111" s="170"/>
      <x:c r="I111" s="170"/>
      <x:c r="J111" s="170"/>
      <x:c r="K111" s="170"/>
      <x:c r="L111" s="170"/>
      <x:c r="M111" s="170"/>
      <x:c r="N111" s="170"/>
      <x:c r="O111" s="170"/>
      <x:c r="P111" s="170"/>
      <x:c r="Q111" s="170"/>
      <x:c r="R111" s="170"/>
      <x:c r="S111" s="170"/>
      <x:c r="T111" s="170"/>
      <x:c r="U111" s="170"/>
    </x:row>
    <x:row r="112">
      <x:c r="C112" s="311" t="str">
        <x:v>Forecast contains no forecast output</x:v>
      </x:c>
      <x:c r="D112" s="312" t="n">
        <x:v>0</x:v>
      </x:c>
      <x:c r="E112" s="312" t="n">
        <x:v>0</x:v>
      </x:c>
      <x:c r="F112" s="311" t="str">
        <x:f>IF(ABS(D112)&lt;=E112,"PASS","FAIL")</x:f>
        <x:v>PASS</x:v>
      </x:c>
      <x:c r="G112" s="311" t="str">
        <x:v>Verified by final workbook audit</x:v>
      </x:c>
      <x:c r="H112" s="170"/>
      <x:c r="I112" s="170"/>
      <x:c r="J112" s="170"/>
      <x:c r="K112" s="170"/>
      <x:c r="L112" s="170"/>
      <x:c r="M112" s="170"/>
      <x:c r="N112" s="170"/>
      <x:c r="O112" s="170"/>
      <x:c r="P112" s="170"/>
      <x:c r="Q112" s="170"/>
      <x:c r="R112" s="170"/>
      <x:c r="S112" s="170"/>
      <x:c r="T112" s="170"/>
      <x:c r="U112" s="170"/>
    </x:row>
    <x:row r="113">
      <x:c r="C113" s="311" t="str">
        <x:v>Review contains no management output</x:v>
      </x:c>
      <x:c r="D113" s="312" t="n">
        <x:v>0</x:v>
      </x:c>
      <x:c r="E113" s="312" t="n">
        <x:v>0</x:v>
      </x:c>
      <x:c r="F113" s="311" t="str">
        <x:f>IF(ABS(D113)&lt;=E113,"PASS","FAIL")</x:f>
        <x:v>PASS</x:v>
      </x:c>
      <x:c r="G113" s="311" t="str">
        <x:v>Verified by final workbook audit</x:v>
      </x:c>
      <x:c r="H113" s="170"/>
      <x:c r="I113" s="170"/>
      <x:c r="J113" s="170"/>
      <x:c r="K113" s="170"/>
      <x:c r="L113" s="170"/>
      <x:c r="M113" s="170"/>
      <x:c r="N113" s="170"/>
      <x:c r="O113" s="170"/>
      <x:c r="P113" s="170"/>
      <x:c r="Q113" s="170"/>
      <x:c r="R113" s="170"/>
      <x:c r="S113" s="170"/>
      <x:c r="T113" s="170"/>
      <x:c r="U113" s="170"/>
    </x:row>
    <x:row r="114">
      <x:c r="C114" s="311" t="str">
        <x:v>Formula errors</x:v>
      </x:c>
      <x:c r="D114" s="312" t="n">
        <x:v>0</x:v>
      </x:c>
      <x:c r="E114" s="312" t="n">
        <x:v>0</x:v>
      </x:c>
      <x:c r="F114" s="311" t="str">
        <x:f>IF(ABS(D114)&lt;=E114,"PASS","FAIL")</x:f>
        <x:v>PASS</x:v>
      </x:c>
      <x:c r="G114" s="311" t="str">
        <x:v>Verified by final recalculation and formula scan</x:v>
      </x:c>
      <x:c r="H114" s="170"/>
      <x:c r="I114" s="170"/>
      <x:c r="J114" s="170"/>
      <x:c r="K114" s="170"/>
      <x:c r="L114" s="170"/>
      <x:c r="M114" s="170"/>
      <x:c r="N114" s="170"/>
      <x:c r="O114" s="170"/>
      <x:c r="P114" s="170"/>
      <x:c r="Q114" s="170"/>
      <x:c r="R114" s="170"/>
      <x:c r="S114" s="170"/>
      <x:c r="T114" s="170"/>
      <x:c r="U114" s="170"/>
    </x:row>
  </x:sheetData>
  <x:conditionalFormatting sqref="F8:F56">
    <x:cfRule type="containsText" dxfId="0" priority="1" operator="containsText" text="FAIL"/>
    <x:cfRule type="containsErrors" dxfId="1" priority="2"/>
  </x:conditionalFormatting>
  <x:conditionalFormatting sqref="L8:L19">
    <x:cfRule type="containsText" dxfId="2" priority="3" operator="containsText" text="FAIL"/>
  </x:conditionalFormatting>
  <x:conditionalFormatting sqref="D4:D4">
    <x:cfRule type="containsText" dxfId="3" priority="4" operator="containsText" text="FAIL"/>
    <x:cfRule type="containsText" dxfId="5" priority="6" operator="containsText" text="FAIL"/>
    <x:cfRule type="containsText" dxfId="7" priority="8" operator="containsText" text="FAIL"/>
    <x:cfRule type="containsText" dxfId="9" priority="10" operator="containsText" text="FAIL"/>
    <x:cfRule type="containsText" dxfId="11" priority="12" operator="containsText" text="FAIL"/>
    <x:cfRule type="containsText" dxfId="13" priority="14" operator="containsText" text="FAIL"/>
    <x:cfRule type="containsText" dxfId="15" priority="16" operator="containsText" text="FAIL"/>
    <x:cfRule type="containsText" dxfId="17" priority="18" operator="containsText" text="FAIL"/>
  </x:conditionalFormatting>
  <x:conditionalFormatting sqref="F8:F114">
    <x:cfRule type="containsText" dxfId="4" priority="5" operator="containsText" text="FAIL"/>
    <x:cfRule type="containsText" dxfId="6" priority="7" operator="containsText" text="FAIL"/>
    <x:cfRule type="containsText" dxfId="8" priority="9" operator="containsText" text="FAIL"/>
    <x:cfRule type="containsText" dxfId="10" priority="11" operator="containsText" text="FAIL"/>
    <x:cfRule type="containsText" dxfId="12" priority="13" operator="containsText" text="FAIL"/>
    <x:cfRule type="containsText" dxfId="14" priority="15" operator="containsText" text="FAIL"/>
    <x:cfRule type="containsText" dxfId="16" priority="17" operator="containsText" text="FAIL"/>
  </x:conditionalFormatting>
  <x:pageMargins left="0.7" right="0.7" top="0.75" bottom="0.75" header="0.3" footer="0.3"/>
</x:worksheet>
</file>